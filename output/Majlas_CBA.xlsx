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Damage_AED" sheetId="3" state="visible" r:id="rId3"/>
    <sheet xmlns:r="http://schemas.openxmlformats.org/officeDocument/2006/relationships" name="NPV_BCR" sheetId="4" state="visible" r:id="rId4"/>
    <sheet xmlns:r="http://schemas.openxmlformats.org/officeDocument/2006/relationships" name="Exposu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0"/>
    <numFmt numFmtId="166" formatCode="0.00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i val="1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5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4" fillId="0" borderId="1" pivotButton="0" quotePrefix="0" xfId="0"/>
    <xf numFmtId="3" fontId="4" fillId="4" borderId="1" pivotButton="0" quotePrefix="0" xfId="0"/>
    <xf numFmtId="166" fontId="4" fillId="4" borderId="1" pivotButton="0" quotePrefix="0" xfId="0"/>
    <xf numFmtId="0" fontId="4" fillId="0" borderId="0" pivotButton="0" quotePrefix="0" xfId="0"/>
    <xf numFmtId="0" fontId="1" fillId="0" borderId="0" pivotButton="0" quotePrefix="0" xfId="0"/>
    <xf numFmtId="3" fontId="0" fillId="3" borderId="1" pivotButton="0" quotePrefix="0" xfId="0"/>
    <xf numFmtId="164" fontId="0" fillId="3" borderId="1" pivotButton="0" quotePrefix="0" xfId="0"/>
    <xf numFmtId="0" fontId="0" fillId="3" borderId="1" pivotButton="0" quotePrefix="0" xfId="0"/>
    <xf numFmtId="0" fontId="3" fillId="0" borderId="0" pivotButton="0" quotePrefix="0" xfId="0"/>
    <xf numFmtId="165" fontId="0" fillId="0" borderId="1" pivotButton="0" quotePrefix="0" xfId="0"/>
    <xf numFmtId="3" fontId="0" fillId="0" borderId="0" pivotButton="0" quotePrefix="0" xfId="0"/>
    <xf numFmtId="3" fontId="0" fillId="4" borderId="0" pivotButton="0" quotePrefix="0" xfId="0"/>
    <xf numFmtId="166" fontId="0" fillId="0" borderId="0" pivotButton="0" quotePrefix="0" xfId="0"/>
    <xf numFmtId="3" fontId="4" fillId="4" borderId="0" pivotButton="0" quotePrefix="0" xfId="0"/>
    <xf numFmtId="166" fontId="4" fillId="4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</cols>
  <sheetData>
    <row r="1">
      <c r="A1" s="1" t="inlineStr">
        <is>
          <t>MAJLAS FLOOD PROTECTION — COST-BENEFIT SUMMARY</t>
        </is>
      </c>
    </row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Annual avoided damage (OMR/yr)</t>
        </is>
      </c>
      <c r="B4" s="4">
        <f>Damage_AED!$B$17</f>
        <v/>
      </c>
    </row>
    <row r="5">
      <c r="A5" s="3" t="inlineStr">
        <is>
          <t>AED baseline (OMR/yr)</t>
        </is>
      </c>
      <c r="B5" s="4">
        <f>Damage_AED!$B$15</f>
        <v/>
      </c>
    </row>
    <row r="6">
      <c r="A6" s="3" t="inlineStr">
        <is>
          <t>AED scheme (OMR/yr)</t>
        </is>
      </c>
      <c r="B6" s="4">
        <f>Damage_AED!$B$16</f>
        <v/>
      </c>
    </row>
    <row r="7">
      <c r="A7" s="3" t="inlineStr">
        <is>
          <t>Initial cost (OMR)</t>
        </is>
      </c>
      <c r="B7" s="4">
        <f>NPV_BCR!B55</f>
        <v/>
      </c>
    </row>
    <row r="8">
      <c r="A8" s="3" t="inlineStr">
        <is>
          <t>PV benefits (OMR)</t>
        </is>
      </c>
      <c r="B8" s="4">
        <f>NPV_BCR!B56</f>
        <v/>
      </c>
    </row>
    <row r="9">
      <c r="A9" s="3" t="inlineStr">
        <is>
          <t>PV costs (OMR)</t>
        </is>
      </c>
      <c r="B9" s="4">
        <f>NPV_BCR!B58</f>
        <v/>
      </c>
    </row>
    <row r="10">
      <c r="A10" s="5" t="inlineStr">
        <is>
          <t>NPV (OMR)</t>
        </is>
      </c>
      <c r="B10" s="6">
        <f>NPV_BCR!B59</f>
        <v/>
      </c>
    </row>
    <row r="11">
      <c r="A11" s="5" t="inlineStr">
        <is>
          <t>BCR</t>
        </is>
      </c>
      <c r="B11" s="7">
        <f>NPV_BCR!B60</f>
        <v/>
      </c>
    </row>
    <row r="12">
      <c r="A12" s="3" t="inlineStr">
        <is>
          <t>EAPE avoided (people/yr)</t>
        </is>
      </c>
      <c r="B12" s="4">
        <f>Exposure!$B$17</f>
        <v/>
      </c>
    </row>
    <row r="14">
      <c r="A14" s="8" t="inlineStr">
        <is>
          <t>Verdict:</t>
        </is>
      </c>
      <c r="B14">
        <f>IF(B11&gt;1,"Viable (BCR&gt;1)","Not viable on damage alone - see life-safety metrics")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3" max="3"/>
  </cols>
  <sheetData>
    <row r="1">
      <c r="A1" s="9" t="inlineStr">
        <is>
          <t>MAJLAS FLOOD PROTECTION — COST-BENEFIT INPUTS</t>
        </is>
      </c>
    </row>
    <row r="3">
      <c r="A3" s="2" t="inlineStr">
        <is>
          <t>Parameter</t>
        </is>
      </c>
      <c r="B3" s="2" t="inlineStr">
        <is>
          <t>Value</t>
        </is>
      </c>
      <c r="C3" s="2" t="inlineStr">
        <is>
          <t>Unit</t>
        </is>
      </c>
    </row>
    <row r="4">
      <c r="A4" t="inlineStr">
        <is>
          <t>Dam capital cost</t>
        </is>
      </c>
      <c r="B4" s="10" t="n">
        <v>50000000</v>
      </c>
      <c r="C4" t="inlineStr">
        <is>
          <t>OMR</t>
        </is>
      </c>
    </row>
    <row r="5">
      <c r="A5" t="inlineStr">
        <is>
          <t>Channel capital cost</t>
        </is>
      </c>
      <c r="B5" s="10" t="n">
        <v>5000000</v>
      </c>
      <c r="C5" t="inlineStr">
        <is>
          <t>OMR</t>
        </is>
      </c>
    </row>
    <row r="6">
      <c r="A6" t="inlineStr">
        <is>
          <t>Relocation cost</t>
        </is>
      </c>
      <c r="B6" s="10" t="n">
        <v>168080</v>
      </c>
      <c r="C6" t="inlineStr">
        <is>
          <t>OMR</t>
        </is>
      </c>
    </row>
    <row r="7">
      <c r="A7" t="inlineStr">
        <is>
          <t>Discount rate (r)</t>
        </is>
      </c>
      <c r="B7" s="11" t="n">
        <v>0.025</v>
      </c>
      <c r="C7" t="inlineStr">
        <is>
          <t>fraction</t>
        </is>
      </c>
    </row>
    <row r="8">
      <c r="A8" t="inlineStr">
        <is>
          <t>Horizon (n)</t>
        </is>
      </c>
      <c r="B8" s="12" t="n">
        <v>50</v>
      </c>
      <c r="C8" t="inlineStr">
        <is>
          <t>years</t>
        </is>
      </c>
    </row>
    <row r="9">
      <c r="A9" t="inlineStr">
        <is>
          <t>Dam maintenance rate</t>
        </is>
      </c>
      <c r="B9" s="11" t="n">
        <v>0.01</v>
      </c>
      <c r="C9" t="inlineStr">
        <is>
          <t>of dam capital / yr</t>
        </is>
      </c>
    </row>
    <row r="10">
      <c r="A10" t="inlineStr">
        <is>
          <t>Dam maintenance start</t>
        </is>
      </c>
      <c r="B10" s="12" t="n">
        <v>5</v>
      </c>
      <c r="C10" t="inlineStr">
        <is>
          <t>year</t>
        </is>
      </c>
    </row>
    <row r="11">
      <c r="A11" t="inlineStr">
        <is>
          <t>Channel maintenance rate</t>
        </is>
      </c>
      <c r="B11" s="11" t="n">
        <v>0.007</v>
      </c>
      <c r="C11" t="inlineStr">
        <is>
          <t>of channel capital / yr</t>
        </is>
      </c>
    </row>
    <row r="12">
      <c r="A12" t="inlineStr">
        <is>
          <t>Channel maintenance start</t>
        </is>
      </c>
      <c r="B12" s="12" t="n">
        <v>2</v>
      </c>
      <c r="C12" t="inlineStr">
        <is>
          <t>year</t>
        </is>
      </c>
    </row>
    <row r="14">
      <c r="A14" s="13" t="inlineStr">
        <is>
          <t>↑ yellow cells are editable — results update automatically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Flood damage by return period  (from GIS pipeline)</t>
        </is>
      </c>
    </row>
    <row r="3">
      <c r="A3" s="2" t="inlineStr">
        <is>
          <t>Return period (yr)</t>
        </is>
      </c>
      <c r="B3" s="2" t="inlineStr">
        <is>
          <t>Exceedance prob</t>
        </is>
      </c>
      <c r="C3" s="2" t="inlineStr">
        <is>
          <t>Damage baseline (OMR)</t>
        </is>
      </c>
      <c r="D3" s="2" t="inlineStr">
        <is>
          <t>Damage scheme (OMR)</t>
        </is>
      </c>
      <c r="E3" s="2" t="inlineStr">
        <is>
          <t>Trapezoid baseline</t>
        </is>
      </c>
      <c r="F3" s="2" t="inlineStr">
        <is>
          <t>Trapezoid scheme</t>
        </is>
      </c>
    </row>
    <row r="4">
      <c r="A4" s="3" t="n">
        <v>2</v>
      </c>
      <c r="B4" s="14">
        <f>1/A4</f>
        <v/>
      </c>
      <c r="C4" s="4" t="n">
        <v>430603</v>
      </c>
      <c r="D4" s="4" t="n">
        <v>413027</v>
      </c>
      <c r="E4" s="4">
        <f>0.5*(C4+C5)*(B4-B5)</f>
        <v/>
      </c>
      <c r="F4" s="4">
        <f>0.5*(D4+D5)*(B4-B5)</f>
        <v/>
      </c>
    </row>
    <row r="5">
      <c r="A5" s="3" t="n">
        <v>5</v>
      </c>
      <c r="B5" s="14">
        <f>1/A5</f>
        <v/>
      </c>
      <c r="C5" s="4" t="n">
        <v>1011369</v>
      </c>
      <c r="D5" s="4" t="n">
        <v>667876</v>
      </c>
      <c r="E5" s="4">
        <f>0.5*(C5+C6)*(B5-B6)</f>
        <v/>
      </c>
      <c r="F5" s="4">
        <f>0.5*(D5+D6)*(B5-B6)</f>
        <v/>
      </c>
    </row>
    <row r="6">
      <c r="A6" s="3" t="n">
        <v>10</v>
      </c>
      <c r="B6" s="14">
        <f>1/A6</f>
        <v/>
      </c>
      <c r="C6" s="4" t="n">
        <v>2286454</v>
      </c>
      <c r="D6" s="4" t="n">
        <v>1105001</v>
      </c>
      <c r="E6" s="4">
        <f>0.5*(C6+C7)*(B6-B7)</f>
        <v/>
      </c>
      <c r="F6" s="4">
        <f>0.5*(D6+D7)*(B6-B7)</f>
        <v/>
      </c>
    </row>
    <row r="7">
      <c r="A7" s="3" t="n">
        <v>25</v>
      </c>
      <c r="B7" s="14">
        <f>1/A7</f>
        <v/>
      </c>
      <c r="C7" s="4" t="n">
        <v>3513744</v>
      </c>
      <c r="D7" s="4" t="n">
        <v>1352664</v>
      </c>
      <c r="E7" s="4">
        <f>0.5*(C7+C8)*(B7-B8)</f>
        <v/>
      </c>
      <c r="F7" s="4">
        <f>0.5*(D7+D8)*(B7-B8)</f>
        <v/>
      </c>
    </row>
    <row r="8">
      <c r="A8" s="3" t="n">
        <v>50</v>
      </c>
      <c r="B8" s="14">
        <f>1/A8</f>
        <v/>
      </c>
      <c r="C8" s="4" t="n">
        <v>4670209</v>
      </c>
      <c r="D8" s="4" t="n">
        <v>1576424</v>
      </c>
      <c r="E8" s="4">
        <f>0.5*(C8+C9)*(B8-B9)</f>
        <v/>
      </c>
      <c r="F8" s="4">
        <f>0.5*(D8+D9)*(B8-B9)</f>
        <v/>
      </c>
    </row>
    <row r="9">
      <c r="A9" s="3" t="n">
        <v>100</v>
      </c>
      <c r="B9" s="14">
        <f>1/A9</f>
        <v/>
      </c>
      <c r="C9" s="4" t="n">
        <v>5900757</v>
      </c>
      <c r="D9" s="4" t="n">
        <v>1818152</v>
      </c>
      <c r="E9" s="4">
        <f>0.5*(C9+C10)*(B9-B10)</f>
        <v/>
      </c>
      <c r="F9" s="4">
        <f>0.5*(D9+D10)*(B9-B10)</f>
        <v/>
      </c>
    </row>
    <row r="10">
      <c r="A10" s="3" t="n">
        <v>200</v>
      </c>
      <c r="B10" s="14">
        <f>1/A10</f>
        <v/>
      </c>
      <c r="C10" s="4" t="n">
        <v>7456451</v>
      </c>
      <c r="D10" s="4" t="n">
        <v>2093806</v>
      </c>
      <c r="E10" s="4">
        <f>0.5*(C10+C11)*(B10-B11)</f>
        <v/>
      </c>
      <c r="F10" s="4">
        <f>0.5*(D10+D11)*(B10-B11)</f>
        <v/>
      </c>
    </row>
    <row r="11">
      <c r="A11" s="3" t="n">
        <v>500</v>
      </c>
      <c r="B11" s="14">
        <f>1/A11</f>
        <v/>
      </c>
      <c r="C11" s="4" t="n">
        <v>9499861</v>
      </c>
      <c r="D11" s="4" t="n">
        <v>2813500</v>
      </c>
      <c r="E11" s="4">
        <f>0.5*(C11+C12)*(B11-B12)</f>
        <v/>
      </c>
      <c r="F11" s="4">
        <f>0.5*(D11+D12)*(B11-B12)</f>
        <v/>
      </c>
    </row>
    <row r="12">
      <c r="A12" s="3" t="n">
        <v>1000</v>
      </c>
      <c r="B12" s="14">
        <f>1/A12</f>
        <v/>
      </c>
      <c r="C12" s="4" t="n">
        <v>11019644</v>
      </c>
      <c r="D12" s="4" t="n">
        <v>3789619</v>
      </c>
      <c r="E12" s="4">
        <f>0.5*(C12+C13)*(B12-B13)</f>
        <v/>
      </c>
      <c r="F12" s="4">
        <f>0.5*(D12+D13)*(B12-B13)</f>
        <v/>
      </c>
    </row>
    <row r="13">
      <c r="A13" s="3" t="n">
        <v>10000</v>
      </c>
      <c r="B13" s="14">
        <f>1/A13</f>
        <v/>
      </c>
      <c r="C13" s="4" t="n">
        <v>14243470</v>
      </c>
      <c r="D13" s="4" t="n">
        <v>8922389</v>
      </c>
      <c r="E13" s="3" t="n"/>
      <c r="F13" s="3" t="n"/>
    </row>
    <row r="15">
      <c r="A15" s="8" t="inlineStr">
        <is>
          <t>AED baseline (OMR/yr)</t>
        </is>
      </c>
      <c r="B15" s="15">
        <f>SUM(E4:E12)+C13*B13</f>
        <v/>
      </c>
    </row>
    <row r="16">
      <c r="A16" s="8" t="inlineStr">
        <is>
          <t>AED scheme (OMR/yr)</t>
        </is>
      </c>
      <c r="B16" s="15">
        <f>SUM(F4:F12)+D13*B13</f>
        <v/>
      </c>
    </row>
    <row r="17">
      <c r="A17" s="8" t="inlineStr">
        <is>
          <t>Annual avoided damage (OMR/yr)</t>
        </is>
      </c>
      <c r="B17" s="16">
        <f>B15-B16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8" t="inlineStr">
        <is>
          <t>Discounted cash flow (formula-driven)</t>
        </is>
      </c>
    </row>
    <row r="3">
      <c r="A3" s="2" t="inlineStr">
        <is>
          <t>Year</t>
        </is>
      </c>
      <c r="B3" s="2" t="inlineStr">
        <is>
          <t>Avoided damage</t>
        </is>
      </c>
      <c r="C3" s="2" t="inlineStr">
        <is>
          <t>Dam maint.</t>
        </is>
      </c>
      <c r="D3" s="2" t="inlineStr">
        <is>
          <t>Channel maint.</t>
        </is>
      </c>
      <c r="E3" s="2" t="inlineStr">
        <is>
          <t>Net benefit</t>
        </is>
      </c>
      <c r="F3" s="2" t="inlineStr">
        <is>
          <t>Discount factor</t>
        </is>
      </c>
      <c r="G3" s="2" t="inlineStr">
        <is>
          <t>PV net</t>
        </is>
      </c>
      <c r="H3" s="2" t="inlineStr">
        <is>
          <t>PV benefit</t>
        </is>
      </c>
      <c r="I3" s="2" t="inlineStr">
        <is>
          <t>PV cost</t>
        </is>
      </c>
    </row>
    <row r="4">
      <c r="A4" t="n">
        <v>1</v>
      </c>
      <c r="B4" s="15">
        <f>Damage_AED!$B$17</f>
        <v/>
      </c>
      <c r="C4" s="15">
        <f>IF(A4&gt;=Inputs!$B$10,Inputs!$B$9*Inputs!$B$4,0)</f>
        <v/>
      </c>
      <c r="D4" s="15">
        <f>IF(A4&gt;=Inputs!$B$12,Inputs!$B$11*Inputs!$B$5,0)</f>
        <v/>
      </c>
      <c r="E4" s="15">
        <f>B4-C4-D4</f>
        <v/>
      </c>
      <c r="F4" s="17">
        <f>1/(1+Inputs!$B$7)^A4</f>
        <v/>
      </c>
      <c r="G4" s="15">
        <f>E4*F4</f>
        <v/>
      </c>
      <c r="H4" s="15">
        <f>B4*F4</f>
        <v/>
      </c>
      <c r="I4" s="15">
        <f>(C4+D4)*F4</f>
        <v/>
      </c>
    </row>
    <row r="5">
      <c r="A5" t="n">
        <v>2</v>
      </c>
      <c r="B5" s="15">
        <f>Damage_AED!$B$17</f>
        <v/>
      </c>
      <c r="C5" s="15">
        <f>IF(A5&gt;=Inputs!$B$10,Inputs!$B$9*Inputs!$B$4,0)</f>
        <v/>
      </c>
      <c r="D5" s="15">
        <f>IF(A5&gt;=Inputs!$B$12,Inputs!$B$11*Inputs!$B$5,0)</f>
        <v/>
      </c>
      <c r="E5" s="15">
        <f>B5-C5-D5</f>
        <v/>
      </c>
      <c r="F5" s="17">
        <f>1/(1+Inputs!$B$7)^A5</f>
        <v/>
      </c>
      <c r="G5" s="15">
        <f>E5*F5</f>
        <v/>
      </c>
      <c r="H5" s="15">
        <f>B5*F5</f>
        <v/>
      </c>
      <c r="I5" s="15">
        <f>(C5+D5)*F5</f>
        <v/>
      </c>
    </row>
    <row r="6">
      <c r="A6" t="n">
        <v>3</v>
      </c>
      <c r="B6" s="15">
        <f>Damage_AED!$B$17</f>
        <v/>
      </c>
      <c r="C6" s="15">
        <f>IF(A6&gt;=Inputs!$B$10,Inputs!$B$9*Inputs!$B$4,0)</f>
        <v/>
      </c>
      <c r="D6" s="15">
        <f>IF(A6&gt;=Inputs!$B$12,Inputs!$B$11*Inputs!$B$5,0)</f>
        <v/>
      </c>
      <c r="E6" s="15">
        <f>B6-C6-D6</f>
        <v/>
      </c>
      <c r="F6" s="17">
        <f>1/(1+Inputs!$B$7)^A6</f>
        <v/>
      </c>
      <c r="G6" s="15">
        <f>E6*F6</f>
        <v/>
      </c>
      <c r="H6" s="15">
        <f>B6*F6</f>
        <v/>
      </c>
      <c r="I6" s="15">
        <f>(C6+D6)*F6</f>
        <v/>
      </c>
    </row>
    <row r="7">
      <c r="A7" t="n">
        <v>4</v>
      </c>
      <c r="B7" s="15">
        <f>Damage_AED!$B$17</f>
        <v/>
      </c>
      <c r="C7" s="15">
        <f>IF(A7&gt;=Inputs!$B$10,Inputs!$B$9*Inputs!$B$4,0)</f>
        <v/>
      </c>
      <c r="D7" s="15">
        <f>IF(A7&gt;=Inputs!$B$12,Inputs!$B$11*Inputs!$B$5,0)</f>
        <v/>
      </c>
      <c r="E7" s="15">
        <f>B7-C7-D7</f>
        <v/>
      </c>
      <c r="F7" s="17">
        <f>1/(1+Inputs!$B$7)^A7</f>
        <v/>
      </c>
      <c r="G7" s="15">
        <f>E7*F7</f>
        <v/>
      </c>
      <c r="H7" s="15">
        <f>B7*F7</f>
        <v/>
      </c>
      <c r="I7" s="15">
        <f>(C7+D7)*F7</f>
        <v/>
      </c>
    </row>
    <row r="8">
      <c r="A8" t="n">
        <v>5</v>
      </c>
      <c r="B8" s="15">
        <f>Damage_AED!$B$17</f>
        <v/>
      </c>
      <c r="C8" s="15">
        <f>IF(A8&gt;=Inputs!$B$10,Inputs!$B$9*Inputs!$B$4,0)</f>
        <v/>
      </c>
      <c r="D8" s="15">
        <f>IF(A8&gt;=Inputs!$B$12,Inputs!$B$11*Inputs!$B$5,0)</f>
        <v/>
      </c>
      <c r="E8" s="15">
        <f>B8-C8-D8</f>
        <v/>
      </c>
      <c r="F8" s="17">
        <f>1/(1+Inputs!$B$7)^A8</f>
        <v/>
      </c>
      <c r="G8" s="15">
        <f>E8*F8</f>
        <v/>
      </c>
      <c r="H8" s="15">
        <f>B8*F8</f>
        <v/>
      </c>
      <c r="I8" s="15">
        <f>(C8+D8)*F8</f>
        <v/>
      </c>
    </row>
    <row r="9">
      <c r="A9" t="n">
        <v>6</v>
      </c>
      <c r="B9" s="15">
        <f>Damage_AED!$B$17</f>
        <v/>
      </c>
      <c r="C9" s="15">
        <f>IF(A9&gt;=Inputs!$B$10,Inputs!$B$9*Inputs!$B$4,0)</f>
        <v/>
      </c>
      <c r="D9" s="15">
        <f>IF(A9&gt;=Inputs!$B$12,Inputs!$B$11*Inputs!$B$5,0)</f>
        <v/>
      </c>
      <c r="E9" s="15">
        <f>B9-C9-D9</f>
        <v/>
      </c>
      <c r="F9" s="17">
        <f>1/(1+Inputs!$B$7)^A9</f>
        <v/>
      </c>
      <c r="G9" s="15">
        <f>E9*F9</f>
        <v/>
      </c>
      <c r="H9" s="15">
        <f>B9*F9</f>
        <v/>
      </c>
      <c r="I9" s="15">
        <f>(C9+D9)*F9</f>
        <v/>
      </c>
    </row>
    <row r="10">
      <c r="A10" t="n">
        <v>7</v>
      </c>
      <c r="B10" s="15">
        <f>Damage_AED!$B$17</f>
        <v/>
      </c>
      <c r="C10" s="15">
        <f>IF(A10&gt;=Inputs!$B$10,Inputs!$B$9*Inputs!$B$4,0)</f>
        <v/>
      </c>
      <c r="D10" s="15">
        <f>IF(A10&gt;=Inputs!$B$12,Inputs!$B$11*Inputs!$B$5,0)</f>
        <v/>
      </c>
      <c r="E10" s="15">
        <f>B10-C10-D10</f>
        <v/>
      </c>
      <c r="F10" s="17">
        <f>1/(1+Inputs!$B$7)^A10</f>
        <v/>
      </c>
      <c r="G10" s="15">
        <f>E10*F10</f>
        <v/>
      </c>
      <c r="H10" s="15">
        <f>B10*F10</f>
        <v/>
      </c>
      <c r="I10" s="15">
        <f>(C10+D10)*F10</f>
        <v/>
      </c>
    </row>
    <row r="11">
      <c r="A11" t="n">
        <v>8</v>
      </c>
      <c r="B11" s="15">
        <f>Damage_AED!$B$17</f>
        <v/>
      </c>
      <c r="C11" s="15">
        <f>IF(A11&gt;=Inputs!$B$10,Inputs!$B$9*Inputs!$B$4,0)</f>
        <v/>
      </c>
      <c r="D11" s="15">
        <f>IF(A11&gt;=Inputs!$B$12,Inputs!$B$11*Inputs!$B$5,0)</f>
        <v/>
      </c>
      <c r="E11" s="15">
        <f>B11-C11-D11</f>
        <v/>
      </c>
      <c r="F11" s="17">
        <f>1/(1+Inputs!$B$7)^A11</f>
        <v/>
      </c>
      <c r="G11" s="15">
        <f>E11*F11</f>
        <v/>
      </c>
      <c r="H11" s="15">
        <f>B11*F11</f>
        <v/>
      </c>
      <c r="I11" s="15">
        <f>(C11+D11)*F11</f>
        <v/>
      </c>
    </row>
    <row r="12">
      <c r="A12" t="n">
        <v>9</v>
      </c>
      <c r="B12" s="15">
        <f>Damage_AED!$B$17</f>
        <v/>
      </c>
      <c r="C12" s="15">
        <f>IF(A12&gt;=Inputs!$B$10,Inputs!$B$9*Inputs!$B$4,0)</f>
        <v/>
      </c>
      <c r="D12" s="15">
        <f>IF(A12&gt;=Inputs!$B$12,Inputs!$B$11*Inputs!$B$5,0)</f>
        <v/>
      </c>
      <c r="E12" s="15">
        <f>B12-C12-D12</f>
        <v/>
      </c>
      <c r="F12" s="17">
        <f>1/(1+Inputs!$B$7)^A12</f>
        <v/>
      </c>
      <c r="G12" s="15">
        <f>E12*F12</f>
        <v/>
      </c>
      <c r="H12" s="15">
        <f>B12*F12</f>
        <v/>
      </c>
      <c r="I12" s="15">
        <f>(C12+D12)*F12</f>
        <v/>
      </c>
    </row>
    <row r="13">
      <c r="A13" t="n">
        <v>10</v>
      </c>
      <c r="B13" s="15">
        <f>Damage_AED!$B$17</f>
        <v/>
      </c>
      <c r="C13" s="15">
        <f>IF(A13&gt;=Inputs!$B$10,Inputs!$B$9*Inputs!$B$4,0)</f>
        <v/>
      </c>
      <c r="D13" s="15">
        <f>IF(A13&gt;=Inputs!$B$12,Inputs!$B$11*Inputs!$B$5,0)</f>
        <v/>
      </c>
      <c r="E13" s="15">
        <f>B13-C13-D13</f>
        <v/>
      </c>
      <c r="F13" s="17">
        <f>1/(1+Inputs!$B$7)^A13</f>
        <v/>
      </c>
      <c r="G13" s="15">
        <f>E13*F13</f>
        <v/>
      </c>
      <c r="H13" s="15">
        <f>B13*F13</f>
        <v/>
      </c>
      <c r="I13" s="15">
        <f>(C13+D13)*F13</f>
        <v/>
      </c>
    </row>
    <row r="14">
      <c r="A14" t="n">
        <v>11</v>
      </c>
      <c r="B14" s="15">
        <f>Damage_AED!$B$17</f>
        <v/>
      </c>
      <c r="C14" s="15">
        <f>IF(A14&gt;=Inputs!$B$10,Inputs!$B$9*Inputs!$B$4,0)</f>
        <v/>
      </c>
      <c r="D14" s="15">
        <f>IF(A14&gt;=Inputs!$B$12,Inputs!$B$11*Inputs!$B$5,0)</f>
        <v/>
      </c>
      <c r="E14" s="15">
        <f>B14-C14-D14</f>
        <v/>
      </c>
      <c r="F14" s="17">
        <f>1/(1+Inputs!$B$7)^A14</f>
        <v/>
      </c>
      <c r="G14" s="15">
        <f>E14*F14</f>
        <v/>
      </c>
      <c r="H14" s="15">
        <f>B14*F14</f>
        <v/>
      </c>
      <c r="I14" s="15">
        <f>(C14+D14)*F14</f>
        <v/>
      </c>
    </row>
    <row r="15">
      <c r="A15" t="n">
        <v>12</v>
      </c>
      <c r="B15" s="15">
        <f>Damage_AED!$B$17</f>
        <v/>
      </c>
      <c r="C15" s="15">
        <f>IF(A15&gt;=Inputs!$B$10,Inputs!$B$9*Inputs!$B$4,0)</f>
        <v/>
      </c>
      <c r="D15" s="15">
        <f>IF(A15&gt;=Inputs!$B$12,Inputs!$B$11*Inputs!$B$5,0)</f>
        <v/>
      </c>
      <c r="E15" s="15">
        <f>B15-C15-D15</f>
        <v/>
      </c>
      <c r="F15" s="17">
        <f>1/(1+Inputs!$B$7)^A15</f>
        <v/>
      </c>
      <c r="G15" s="15">
        <f>E15*F15</f>
        <v/>
      </c>
      <c r="H15" s="15">
        <f>B15*F15</f>
        <v/>
      </c>
      <c r="I15" s="15">
        <f>(C15+D15)*F15</f>
        <v/>
      </c>
    </row>
    <row r="16">
      <c r="A16" t="n">
        <v>13</v>
      </c>
      <c r="B16" s="15">
        <f>Damage_AED!$B$17</f>
        <v/>
      </c>
      <c r="C16" s="15">
        <f>IF(A16&gt;=Inputs!$B$10,Inputs!$B$9*Inputs!$B$4,0)</f>
        <v/>
      </c>
      <c r="D16" s="15">
        <f>IF(A16&gt;=Inputs!$B$12,Inputs!$B$11*Inputs!$B$5,0)</f>
        <v/>
      </c>
      <c r="E16" s="15">
        <f>B16-C16-D16</f>
        <v/>
      </c>
      <c r="F16" s="17">
        <f>1/(1+Inputs!$B$7)^A16</f>
        <v/>
      </c>
      <c r="G16" s="15">
        <f>E16*F16</f>
        <v/>
      </c>
      <c r="H16" s="15">
        <f>B16*F16</f>
        <v/>
      </c>
      <c r="I16" s="15">
        <f>(C16+D16)*F16</f>
        <v/>
      </c>
    </row>
    <row r="17">
      <c r="A17" t="n">
        <v>14</v>
      </c>
      <c r="B17" s="15">
        <f>Damage_AED!$B$17</f>
        <v/>
      </c>
      <c r="C17" s="15">
        <f>IF(A17&gt;=Inputs!$B$10,Inputs!$B$9*Inputs!$B$4,0)</f>
        <v/>
      </c>
      <c r="D17" s="15">
        <f>IF(A17&gt;=Inputs!$B$12,Inputs!$B$11*Inputs!$B$5,0)</f>
        <v/>
      </c>
      <c r="E17" s="15">
        <f>B17-C17-D17</f>
        <v/>
      </c>
      <c r="F17" s="17">
        <f>1/(1+Inputs!$B$7)^A17</f>
        <v/>
      </c>
      <c r="G17" s="15">
        <f>E17*F17</f>
        <v/>
      </c>
      <c r="H17" s="15">
        <f>B17*F17</f>
        <v/>
      </c>
      <c r="I17" s="15">
        <f>(C17+D17)*F17</f>
        <v/>
      </c>
    </row>
    <row r="18">
      <c r="A18" t="n">
        <v>15</v>
      </c>
      <c r="B18" s="15">
        <f>Damage_AED!$B$17</f>
        <v/>
      </c>
      <c r="C18" s="15">
        <f>IF(A18&gt;=Inputs!$B$10,Inputs!$B$9*Inputs!$B$4,0)</f>
        <v/>
      </c>
      <c r="D18" s="15">
        <f>IF(A18&gt;=Inputs!$B$12,Inputs!$B$11*Inputs!$B$5,0)</f>
        <v/>
      </c>
      <c r="E18" s="15">
        <f>B18-C18-D18</f>
        <v/>
      </c>
      <c r="F18" s="17">
        <f>1/(1+Inputs!$B$7)^A18</f>
        <v/>
      </c>
      <c r="G18" s="15">
        <f>E18*F18</f>
        <v/>
      </c>
      <c r="H18" s="15">
        <f>B18*F18</f>
        <v/>
      </c>
      <c r="I18" s="15">
        <f>(C18+D18)*F18</f>
        <v/>
      </c>
    </row>
    <row r="19">
      <c r="A19" t="n">
        <v>16</v>
      </c>
      <c r="B19" s="15">
        <f>Damage_AED!$B$17</f>
        <v/>
      </c>
      <c r="C19" s="15">
        <f>IF(A19&gt;=Inputs!$B$10,Inputs!$B$9*Inputs!$B$4,0)</f>
        <v/>
      </c>
      <c r="D19" s="15">
        <f>IF(A19&gt;=Inputs!$B$12,Inputs!$B$11*Inputs!$B$5,0)</f>
        <v/>
      </c>
      <c r="E19" s="15">
        <f>B19-C19-D19</f>
        <v/>
      </c>
      <c r="F19" s="17">
        <f>1/(1+Inputs!$B$7)^A19</f>
        <v/>
      </c>
      <c r="G19" s="15">
        <f>E19*F19</f>
        <v/>
      </c>
      <c r="H19" s="15">
        <f>B19*F19</f>
        <v/>
      </c>
      <c r="I19" s="15">
        <f>(C19+D19)*F19</f>
        <v/>
      </c>
    </row>
    <row r="20">
      <c r="A20" t="n">
        <v>17</v>
      </c>
      <c r="B20" s="15">
        <f>Damage_AED!$B$17</f>
        <v/>
      </c>
      <c r="C20" s="15">
        <f>IF(A20&gt;=Inputs!$B$10,Inputs!$B$9*Inputs!$B$4,0)</f>
        <v/>
      </c>
      <c r="D20" s="15">
        <f>IF(A20&gt;=Inputs!$B$12,Inputs!$B$11*Inputs!$B$5,0)</f>
        <v/>
      </c>
      <c r="E20" s="15">
        <f>B20-C20-D20</f>
        <v/>
      </c>
      <c r="F20" s="17">
        <f>1/(1+Inputs!$B$7)^A20</f>
        <v/>
      </c>
      <c r="G20" s="15">
        <f>E20*F20</f>
        <v/>
      </c>
      <c r="H20" s="15">
        <f>B20*F20</f>
        <v/>
      </c>
      <c r="I20" s="15">
        <f>(C20+D20)*F20</f>
        <v/>
      </c>
    </row>
    <row r="21">
      <c r="A21" t="n">
        <v>18</v>
      </c>
      <c r="B21" s="15">
        <f>Damage_AED!$B$17</f>
        <v/>
      </c>
      <c r="C21" s="15">
        <f>IF(A21&gt;=Inputs!$B$10,Inputs!$B$9*Inputs!$B$4,0)</f>
        <v/>
      </c>
      <c r="D21" s="15">
        <f>IF(A21&gt;=Inputs!$B$12,Inputs!$B$11*Inputs!$B$5,0)</f>
        <v/>
      </c>
      <c r="E21" s="15">
        <f>B21-C21-D21</f>
        <v/>
      </c>
      <c r="F21" s="17">
        <f>1/(1+Inputs!$B$7)^A21</f>
        <v/>
      </c>
      <c r="G21" s="15">
        <f>E21*F21</f>
        <v/>
      </c>
      <c r="H21" s="15">
        <f>B21*F21</f>
        <v/>
      </c>
      <c r="I21" s="15">
        <f>(C21+D21)*F21</f>
        <v/>
      </c>
    </row>
    <row r="22">
      <c r="A22" t="n">
        <v>19</v>
      </c>
      <c r="B22" s="15">
        <f>Damage_AED!$B$17</f>
        <v/>
      </c>
      <c r="C22" s="15">
        <f>IF(A22&gt;=Inputs!$B$10,Inputs!$B$9*Inputs!$B$4,0)</f>
        <v/>
      </c>
      <c r="D22" s="15">
        <f>IF(A22&gt;=Inputs!$B$12,Inputs!$B$11*Inputs!$B$5,0)</f>
        <v/>
      </c>
      <c r="E22" s="15">
        <f>B22-C22-D22</f>
        <v/>
      </c>
      <c r="F22" s="17">
        <f>1/(1+Inputs!$B$7)^A22</f>
        <v/>
      </c>
      <c r="G22" s="15">
        <f>E22*F22</f>
        <v/>
      </c>
      <c r="H22" s="15">
        <f>B22*F22</f>
        <v/>
      </c>
      <c r="I22" s="15">
        <f>(C22+D22)*F22</f>
        <v/>
      </c>
    </row>
    <row r="23">
      <c r="A23" t="n">
        <v>20</v>
      </c>
      <c r="B23" s="15">
        <f>Damage_AED!$B$17</f>
        <v/>
      </c>
      <c r="C23" s="15">
        <f>IF(A23&gt;=Inputs!$B$10,Inputs!$B$9*Inputs!$B$4,0)</f>
        <v/>
      </c>
      <c r="D23" s="15">
        <f>IF(A23&gt;=Inputs!$B$12,Inputs!$B$11*Inputs!$B$5,0)</f>
        <v/>
      </c>
      <c r="E23" s="15">
        <f>B23-C23-D23</f>
        <v/>
      </c>
      <c r="F23" s="17">
        <f>1/(1+Inputs!$B$7)^A23</f>
        <v/>
      </c>
      <c r="G23" s="15">
        <f>E23*F23</f>
        <v/>
      </c>
      <c r="H23" s="15">
        <f>B23*F23</f>
        <v/>
      </c>
      <c r="I23" s="15">
        <f>(C23+D23)*F23</f>
        <v/>
      </c>
    </row>
    <row r="24">
      <c r="A24" t="n">
        <v>21</v>
      </c>
      <c r="B24" s="15">
        <f>Damage_AED!$B$17</f>
        <v/>
      </c>
      <c r="C24" s="15">
        <f>IF(A24&gt;=Inputs!$B$10,Inputs!$B$9*Inputs!$B$4,0)</f>
        <v/>
      </c>
      <c r="D24" s="15">
        <f>IF(A24&gt;=Inputs!$B$12,Inputs!$B$11*Inputs!$B$5,0)</f>
        <v/>
      </c>
      <c r="E24" s="15">
        <f>B24-C24-D24</f>
        <v/>
      </c>
      <c r="F24" s="17">
        <f>1/(1+Inputs!$B$7)^A24</f>
        <v/>
      </c>
      <c r="G24" s="15">
        <f>E24*F24</f>
        <v/>
      </c>
      <c r="H24" s="15">
        <f>B24*F24</f>
        <v/>
      </c>
      <c r="I24" s="15">
        <f>(C24+D24)*F24</f>
        <v/>
      </c>
    </row>
    <row r="25">
      <c r="A25" t="n">
        <v>22</v>
      </c>
      <c r="B25" s="15">
        <f>Damage_AED!$B$17</f>
        <v/>
      </c>
      <c r="C25" s="15">
        <f>IF(A25&gt;=Inputs!$B$10,Inputs!$B$9*Inputs!$B$4,0)</f>
        <v/>
      </c>
      <c r="D25" s="15">
        <f>IF(A25&gt;=Inputs!$B$12,Inputs!$B$11*Inputs!$B$5,0)</f>
        <v/>
      </c>
      <c r="E25" s="15">
        <f>B25-C25-D25</f>
        <v/>
      </c>
      <c r="F25" s="17">
        <f>1/(1+Inputs!$B$7)^A25</f>
        <v/>
      </c>
      <c r="G25" s="15">
        <f>E25*F25</f>
        <v/>
      </c>
      <c r="H25" s="15">
        <f>B25*F25</f>
        <v/>
      </c>
      <c r="I25" s="15">
        <f>(C25+D25)*F25</f>
        <v/>
      </c>
    </row>
    <row r="26">
      <c r="A26" t="n">
        <v>23</v>
      </c>
      <c r="B26" s="15">
        <f>Damage_AED!$B$17</f>
        <v/>
      </c>
      <c r="C26" s="15">
        <f>IF(A26&gt;=Inputs!$B$10,Inputs!$B$9*Inputs!$B$4,0)</f>
        <v/>
      </c>
      <c r="D26" s="15">
        <f>IF(A26&gt;=Inputs!$B$12,Inputs!$B$11*Inputs!$B$5,0)</f>
        <v/>
      </c>
      <c r="E26" s="15">
        <f>B26-C26-D26</f>
        <v/>
      </c>
      <c r="F26" s="17">
        <f>1/(1+Inputs!$B$7)^A26</f>
        <v/>
      </c>
      <c r="G26" s="15">
        <f>E26*F26</f>
        <v/>
      </c>
      <c r="H26" s="15">
        <f>B26*F26</f>
        <v/>
      </c>
      <c r="I26" s="15">
        <f>(C26+D26)*F26</f>
        <v/>
      </c>
    </row>
    <row r="27">
      <c r="A27" t="n">
        <v>24</v>
      </c>
      <c r="B27" s="15">
        <f>Damage_AED!$B$17</f>
        <v/>
      </c>
      <c r="C27" s="15">
        <f>IF(A27&gt;=Inputs!$B$10,Inputs!$B$9*Inputs!$B$4,0)</f>
        <v/>
      </c>
      <c r="D27" s="15">
        <f>IF(A27&gt;=Inputs!$B$12,Inputs!$B$11*Inputs!$B$5,0)</f>
        <v/>
      </c>
      <c r="E27" s="15">
        <f>B27-C27-D27</f>
        <v/>
      </c>
      <c r="F27" s="17">
        <f>1/(1+Inputs!$B$7)^A27</f>
        <v/>
      </c>
      <c r="G27" s="15">
        <f>E27*F27</f>
        <v/>
      </c>
      <c r="H27" s="15">
        <f>B27*F27</f>
        <v/>
      </c>
      <c r="I27" s="15">
        <f>(C27+D27)*F27</f>
        <v/>
      </c>
    </row>
    <row r="28">
      <c r="A28" t="n">
        <v>25</v>
      </c>
      <c r="B28" s="15">
        <f>Damage_AED!$B$17</f>
        <v/>
      </c>
      <c r="C28" s="15">
        <f>IF(A28&gt;=Inputs!$B$10,Inputs!$B$9*Inputs!$B$4,0)</f>
        <v/>
      </c>
      <c r="D28" s="15">
        <f>IF(A28&gt;=Inputs!$B$12,Inputs!$B$11*Inputs!$B$5,0)</f>
        <v/>
      </c>
      <c r="E28" s="15">
        <f>B28-C28-D28</f>
        <v/>
      </c>
      <c r="F28" s="17">
        <f>1/(1+Inputs!$B$7)^A28</f>
        <v/>
      </c>
      <c r="G28" s="15">
        <f>E28*F28</f>
        <v/>
      </c>
      <c r="H28" s="15">
        <f>B28*F28</f>
        <v/>
      </c>
      <c r="I28" s="15">
        <f>(C28+D28)*F28</f>
        <v/>
      </c>
    </row>
    <row r="29">
      <c r="A29" t="n">
        <v>26</v>
      </c>
      <c r="B29" s="15">
        <f>Damage_AED!$B$17</f>
        <v/>
      </c>
      <c r="C29" s="15">
        <f>IF(A29&gt;=Inputs!$B$10,Inputs!$B$9*Inputs!$B$4,0)</f>
        <v/>
      </c>
      <c r="D29" s="15">
        <f>IF(A29&gt;=Inputs!$B$12,Inputs!$B$11*Inputs!$B$5,0)</f>
        <v/>
      </c>
      <c r="E29" s="15">
        <f>B29-C29-D29</f>
        <v/>
      </c>
      <c r="F29" s="17">
        <f>1/(1+Inputs!$B$7)^A29</f>
        <v/>
      </c>
      <c r="G29" s="15">
        <f>E29*F29</f>
        <v/>
      </c>
      <c r="H29" s="15">
        <f>B29*F29</f>
        <v/>
      </c>
      <c r="I29" s="15">
        <f>(C29+D29)*F29</f>
        <v/>
      </c>
    </row>
    <row r="30">
      <c r="A30" t="n">
        <v>27</v>
      </c>
      <c r="B30" s="15">
        <f>Damage_AED!$B$17</f>
        <v/>
      </c>
      <c r="C30" s="15">
        <f>IF(A30&gt;=Inputs!$B$10,Inputs!$B$9*Inputs!$B$4,0)</f>
        <v/>
      </c>
      <c r="D30" s="15">
        <f>IF(A30&gt;=Inputs!$B$12,Inputs!$B$11*Inputs!$B$5,0)</f>
        <v/>
      </c>
      <c r="E30" s="15">
        <f>B30-C30-D30</f>
        <v/>
      </c>
      <c r="F30" s="17">
        <f>1/(1+Inputs!$B$7)^A30</f>
        <v/>
      </c>
      <c r="G30" s="15">
        <f>E30*F30</f>
        <v/>
      </c>
      <c r="H30" s="15">
        <f>B30*F30</f>
        <v/>
      </c>
      <c r="I30" s="15">
        <f>(C30+D30)*F30</f>
        <v/>
      </c>
    </row>
    <row r="31">
      <c r="A31" t="n">
        <v>28</v>
      </c>
      <c r="B31" s="15">
        <f>Damage_AED!$B$17</f>
        <v/>
      </c>
      <c r="C31" s="15">
        <f>IF(A31&gt;=Inputs!$B$10,Inputs!$B$9*Inputs!$B$4,0)</f>
        <v/>
      </c>
      <c r="D31" s="15">
        <f>IF(A31&gt;=Inputs!$B$12,Inputs!$B$11*Inputs!$B$5,0)</f>
        <v/>
      </c>
      <c r="E31" s="15">
        <f>B31-C31-D31</f>
        <v/>
      </c>
      <c r="F31" s="17">
        <f>1/(1+Inputs!$B$7)^A31</f>
        <v/>
      </c>
      <c r="G31" s="15">
        <f>E31*F31</f>
        <v/>
      </c>
      <c r="H31" s="15">
        <f>B31*F31</f>
        <v/>
      </c>
      <c r="I31" s="15">
        <f>(C31+D31)*F31</f>
        <v/>
      </c>
    </row>
    <row r="32">
      <c r="A32" t="n">
        <v>29</v>
      </c>
      <c r="B32" s="15">
        <f>Damage_AED!$B$17</f>
        <v/>
      </c>
      <c r="C32" s="15">
        <f>IF(A32&gt;=Inputs!$B$10,Inputs!$B$9*Inputs!$B$4,0)</f>
        <v/>
      </c>
      <c r="D32" s="15">
        <f>IF(A32&gt;=Inputs!$B$12,Inputs!$B$11*Inputs!$B$5,0)</f>
        <v/>
      </c>
      <c r="E32" s="15">
        <f>B32-C32-D32</f>
        <v/>
      </c>
      <c r="F32" s="17">
        <f>1/(1+Inputs!$B$7)^A32</f>
        <v/>
      </c>
      <c r="G32" s="15">
        <f>E32*F32</f>
        <v/>
      </c>
      <c r="H32" s="15">
        <f>B32*F32</f>
        <v/>
      </c>
      <c r="I32" s="15">
        <f>(C32+D32)*F32</f>
        <v/>
      </c>
    </row>
    <row r="33">
      <c r="A33" t="n">
        <v>30</v>
      </c>
      <c r="B33" s="15">
        <f>Damage_AED!$B$17</f>
        <v/>
      </c>
      <c r="C33" s="15">
        <f>IF(A33&gt;=Inputs!$B$10,Inputs!$B$9*Inputs!$B$4,0)</f>
        <v/>
      </c>
      <c r="D33" s="15">
        <f>IF(A33&gt;=Inputs!$B$12,Inputs!$B$11*Inputs!$B$5,0)</f>
        <v/>
      </c>
      <c r="E33" s="15">
        <f>B33-C33-D33</f>
        <v/>
      </c>
      <c r="F33" s="17">
        <f>1/(1+Inputs!$B$7)^A33</f>
        <v/>
      </c>
      <c r="G33" s="15">
        <f>E33*F33</f>
        <v/>
      </c>
      <c r="H33" s="15">
        <f>B33*F33</f>
        <v/>
      </c>
      <c r="I33" s="15">
        <f>(C33+D33)*F33</f>
        <v/>
      </c>
    </row>
    <row r="34">
      <c r="A34" t="n">
        <v>31</v>
      </c>
      <c r="B34" s="15">
        <f>Damage_AED!$B$17</f>
        <v/>
      </c>
      <c r="C34" s="15">
        <f>IF(A34&gt;=Inputs!$B$10,Inputs!$B$9*Inputs!$B$4,0)</f>
        <v/>
      </c>
      <c r="D34" s="15">
        <f>IF(A34&gt;=Inputs!$B$12,Inputs!$B$11*Inputs!$B$5,0)</f>
        <v/>
      </c>
      <c r="E34" s="15">
        <f>B34-C34-D34</f>
        <v/>
      </c>
      <c r="F34" s="17">
        <f>1/(1+Inputs!$B$7)^A34</f>
        <v/>
      </c>
      <c r="G34" s="15">
        <f>E34*F34</f>
        <v/>
      </c>
      <c r="H34" s="15">
        <f>B34*F34</f>
        <v/>
      </c>
      <c r="I34" s="15">
        <f>(C34+D34)*F34</f>
        <v/>
      </c>
    </row>
    <row r="35">
      <c r="A35" t="n">
        <v>32</v>
      </c>
      <c r="B35" s="15">
        <f>Damage_AED!$B$17</f>
        <v/>
      </c>
      <c r="C35" s="15">
        <f>IF(A35&gt;=Inputs!$B$10,Inputs!$B$9*Inputs!$B$4,0)</f>
        <v/>
      </c>
      <c r="D35" s="15">
        <f>IF(A35&gt;=Inputs!$B$12,Inputs!$B$11*Inputs!$B$5,0)</f>
        <v/>
      </c>
      <c r="E35" s="15">
        <f>B35-C35-D35</f>
        <v/>
      </c>
      <c r="F35" s="17">
        <f>1/(1+Inputs!$B$7)^A35</f>
        <v/>
      </c>
      <c r="G35" s="15">
        <f>E35*F35</f>
        <v/>
      </c>
      <c r="H35" s="15">
        <f>B35*F35</f>
        <v/>
      </c>
      <c r="I35" s="15">
        <f>(C35+D35)*F35</f>
        <v/>
      </c>
    </row>
    <row r="36">
      <c r="A36" t="n">
        <v>33</v>
      </c>
      <c r="B36" s="15">
        <f>Damage_AED!$B$17</f>
        <v/>
      </c>
      <c r="C36" s="15">
        <f>IF(A36&gt;=Inputs!$B$10,Inputs!$B$9*Inputs!$B$4,0)</f>
        <v/>
      </c>
      <c r="D36" s="15">
        <f>IF(A36&gt;=Inputs!$B$12,Inputs!$B$11*Inputs!$B$5,0)</f>
        <v/>
      </c>
      <c r="E36" s="15">
        <f>B36-C36-D36</f>
        <v/>
      </c>
      <c r="F36" s="17">
        <f>1/(1+Inputs!$B$7)^A36</f>
        <v/>
      </c>
      <c r="G36" s="15">
        <f>E36*F36</f>
        <v/>
      </c>
      <c r="H36" s="15">
        <f>B36*F36</f>
        <v/>
      </c>
      <c r="I36" s="15">
        <f>(C36+D36)*F36</f>
        <v/>
      </c>
    </row>
    <row r="37">
      <c r="A37" t="n">
        <v>34</v>
      </c>
      <c r="B37" s="15">
        <f>Damage_AED!$B$17</f>
        <v/>
      </c>
      <c r="C37" s="15">
        <f>IF(A37&gt;=Inputs!$B$10,Inputs!$B$9*Inputs!$B$4,0)</f>
        <v/>
      </c>
      <c r="D37" s="15">
        <f>IF(A37&gt;=Inputs!$B$12,Inputs!$B$11*Inputs!$B$5,0)</f>
        <v/>
      </c>
      <c r="E37" s="15">
        <f>B37-C37-D37</f>
        <v/>
      </c>
      <c r="F37" s="17">
        <f>1/(1+Inputs!$B$7)^A37</f>
        <v/>
      </c>
      <c r="G37" s="15">
        <f>E37*F37</f>
        <v/>
      </c>
      <c r="H37" s="15">
        <f>B37*F37</f>
        <v/>
      </c>
      <c r="I37" s="15">
        <f>(C37+D37)*F37</f>
        <v/>
      </c>
    </row>
    <row r="38">
      <c r="A38" t="n">
        <v>35</v>
      </c>
      <c r="B38" s="15">
        <f>Damage_AED!$B$17</f>
        <v/>
      </c>
      <c r="C38" s="15">
        <f>IF(A38&gt;=Inputs!$B$10,Inputs!$B$9*Inputs!$B$4,0)</f>
        <v/>
      </c>
      <c r="D38" s="15">
        <f>IF(A38&gt;=Inputs!$B$12,Inputs!$B$11*Inputs!$B$5,0)</f>
        <v/>
      </c>
      <c r="E38" s="15">
        <f>B38-C38-D38</f>
        <v/>
      </c>
      <c r="F38" s="17">
        <f>1/(1+Inputs!$B$7)^A38</f>
        <v/>
      </c>
      <c r="G38" s="15">
        <f>E38*F38</f>
        <v/>
      </c>
      <c r="H38" s="15">
        <f>B38*F38</f>
        <v/>
      </c>
      <c r="I38" s="15">
        <f>(C38+D38)*F38</f>
        <v/>
      </c>
    </row>
    <row r="39">
      <c r="A39" t="n">
        <v>36</v>
      </c>
      <c r="B39" s="15">
        <f>Damage_AED!$B$17</f>
        <v/>
      </c>
      <c r="C39" s="15">
        <f>IF(A39&gt;=Inputs!$B$10,Inputs!$B$9*Inputs!$B$4,0)</f>
        <v/>
      </c>
      <c r="D39" s="15">
        <f>IF(A39&gt;=Inputs!$B$12,Inputs!$B$11*Inputs!$B$5,0)</f>
        <v/>
      </c>
      <c r="E39" s="15">
        <f>B39-C39-D39</f>
        <v/>
      </c>
      <c r="F39" s="17">
        <f>1/(1+Inputs!$B$7)^A39</f>
        <v/>
      </c>
      <c r="G39" s="15">
        <f>E39*F39</f>
        <v/>
      </c>
      <c r="H39" s="15">
        <f>B39*F39</f>
        <v/>
      </c>
      <c r="I39" s="15">
        <f>(C39+D39)*F39</f>
        <v/>
      </c>
    </row>
    <row r="40">
      <c r="A40" t="n">
        <v>37</v>
      </c>
      <c r="B40" s="15">
        <f>Damage_AED!$B$17</f>
        <v/>
      </c>
      <c r="C40" s="15">
        <f>IF(A40&gt;=Inputs!$B$10,Inputs!$B$9*Inputs!$B$4,0)</f>
        <v/>
      </c>
      <c r="D40" s="15">
        <f>IF(A40&gt;=Inputs!$B$12,Inputs!$B$11*Inputs!$B$5,0)</f>
        <v/>
      </c>
      <c r="E40" s="15">
        <f>B40-C40-D40</f>
        <v/>
      </c>
      <c r="F40" s="17">
        <f>1/(1+Inputs!$B$7)^A40</f>
        <v/>
      </c>
      <c r="G40" s="15">
        <f>E40*F40</f>
        <v/>
      </c>
      <c r="H40" s="15">
        <f>B40*F40</f>
        <v/>
      </c>
      <c r="I40" s="15">
        <f>(C40+D40)*F40</f>
        <v/>
      </c>
    </row>
    <row r="41">
      <c r="A41" t="n">
        <v>38</v>
      </c>
      <c r="B41" s="15">
        <f>Damage_AED!$B$17</f>
        <v/>
      </c>
      <c r="C41" s="15">
        <f>IF(A41&gt;=Inputs!$B$10,Inputs!$B$9*Inputs!$B$4,0)</f>
        <v/>
      </c>
      <c r="D41" s="15">
        <f>IF(A41&gt;=Inputs!$B$12,Inputs!$B$11*Inputs!$B$5,0)</f>
        <v/>
      </c>
      <c r="E41" s="15">
        <f>B41-C41-D41</f>
        <v/>
      </c>
      <c r="F41" s="17">
        <f>1/(1+Inputs!$B$7)^A41</f>
        <v/>
      </c>
      <c r="G41" s="15">
        <f>E41*F41</f>
        <v/>
      </c>
      <c r="H41" s="15">
        <f>B41*F41</f>
        <v/>
      </c>
      <c r="I41" s="15">
        <f>(C41+D41)*F41</f>
        <v/>
      </c>
    </row>
    <row r="42">
      <c r="A42" t="n">
        <v>39</v>
      </c>
      <c r="B42" s="15">
        <f>Damage_AED!$B$17</f>
        <v/>
      </c>
      <c r="C42" s="15">
        <f>IF(A42&gt;=Inputs!$B$10,Inputs!$B$9*Inputs!$B$4,0)</f>
        <v/>
      </c>
      <c r="D42" s="15">
        <f>IF(A42&gt;=Inputs!$B$12,Inputs!$B$11*Inputs!$B$5,0)</f>
        <v/>
      </c>
      <c r="E42" s="15">
        <f>B42-C42-D42</f>
        <v/>
      </c>
      <c r="F42" s="17">
        <f>1/(1+Inputs!$B$7)^A42</f>
        <v/>
      </c>
      <c r="G42" s="15">
        <f>E42*F42</f>
        <v/>
      </c>
      <c r="H42" s="15">
        <f>B42*F42</f>
        <v/>
      </c>
      <c r="I42" s="15">
        <f>(C42+D42)*F42</f>
        <v/>
      </c>
    </row>
    <row r="43">
      <c r="A43" t="n">
        <v>40</v>
      </c>
      <c r="B43" s="15">
        <f>Damage_AED!$B$17</f>
        <v/>
      </c>
      <c r="C43" s="15">
        <f>IF(A43&gt;=Inputs!$B$10,Inputs!$B$9*Inputs!$B$4,0)</f>
        <v/>
      </c>
      <c r="D43" s="15">
        <f>IF(A43&gt;=Inputs!$B$12,Inputs!$B$11*Inputs!$B$5,0)</f>
        <v/>
      </c>
      <c r="E43" s="15">
        <f>B43-C43-D43</f>
        <v/>
      </c>
      <c r="F43" s="17">
        <f>1/(1+Inputs!$B$7)^A43</f>
        <v/>
      </c>
      <c r="G43" s="15">
        <f>E43*F43</f>
        <v/>
      </c>
      <c r="H43" s="15">
        <f>B43*F43</f>
        <v/>
      </c>
      <c r="I43" s="15">
        <f>(C43+D43)*F43</f>
        <v/>
      </c>
    </row>
    <row r="44">
      <c r="A44" t="n">
        <v>41</v>
      </c>
      <c r="B44" s="15">
        <f>Damage_AED!$B$17</f>
        <v/>
      </c>
      <c r="C44" s="15">
        <f>IF(A44&gt;=Inputs!$B$10,Inputs!$B$9*Inputs!$B$4,0)</f>
        <v/>
      </c>
      <c r="D44" s="15">
        <f>IF(A44&gt;=Inputs!$B$12,Inputs!$B$11*Inputs!$B$5,0)</f>
        <v/>
      </c>
      <c r="E44" s="15">
        <f>B44-C44-D44</f>
        <v/>
      </c>
      <c r="F44" s="17">
        <f>1/(1+Inputs!$B$7)^A44</f>
        <v/>
      </c>
      <c r="G44" s="15">
        <f>E44*F44</f>
        <v/>
      </c>
      <c r="H44" s="15">
        <f>B44*F44</f>
        <v/>
      </c>
      <c r="I44" s="15">
        <f>(C44+D44)*F44</f>
        <v/>
      </c>
    </row>
    <row r="45">
      <c r="A45" t="n">
        <v>42</v>
      </c>
      <c r="B45" s="15">
        <f>Damage_AED!$B$17</f>
        <v/>
      </c>
      <c r="C45" s="15">
        <f>IF(A45&gt;=Inputs!$B$10,Inputs!$B$9*Inputs!$B$4,0)</f>
        <v/>
      </c>
      <c r="D45" s="15">
        <f>IF(A45&gt;=Inputs!$B$12,Inputs!$B$11*Inputs!$B$5,0)</f>
        <v/>
      </c>
      <c r="E45" s="15">
        <f>B45-C45-D45</f>
        <v/>
      </c>
      <c r="F45" s="17">
        <f>1/(1+Inputs!$B$7)^A45</f>
        <v/>
      </c>
      <c r="G45" s="15">
        <f>E45*F45</f>
        <v/>
      </c>
      <c r="H45" s="15">
        <f>B45*F45</f>
        <v/>
      </c>
      <c r="I45" s="15">
        <f>(C45+D45)*F45</f>
        <v/>
      </c>
    </row>
    <row r="46">
      <c r="A46" t="n">
        <v>43</v>
      </c>
      <c r="B46" s="15">
        <f>Damage_AED!$B$17</f>
        <v/>
      </c>
      <c r="C46" s="15">
        <f>IF(A46&gt;=Inputs!$B$10,Inputs!$B$9*Inputs!$B$4,0)</f>
        <v/>
      </c>
      <c r="D46" s="15">
        <f>IF(A46&gt;=Inputs!$B$12,Inputs!$B$11*Inputs!$B$5,0)</f>
        <v/>
      </c>
      <c r="E46" s="15">
        <f>B46-C46-D46</f>
        <v/>
      </c>
      <c r="F46" s="17">
        <f>1/(1+Inputs!$B$7)^A46</f>
        <v/>
      </c>
      <c r="G46" s="15">
        <f>E46*F46</f>
        <v/>
      </c>
      <c r="H46" s="15">
        <f>B46*F46</f>
        <v/>
      </c>
      <c r="I46" s="15">
        <f>(C46+D46)*F46</f>
        <v/>
      </c>
    </row>
    <row r="47">
      <c r="A47" t="n">
        <v>44</v>
      </c>
      <c r="B47" s="15">
        <f>Damage_AED!$B$17</f>
        <v/>
      </c>
      <c r="C47" s="15">
        <f>IF(A47&gt;=Inputs!$B$10,Inputs!$B$9*Inputs!$B$4,0)</f>
        <v/>
      </c>
      <c r="D47" s="15">
        <f>IF(A47&gt;=Inputs!$B$12,Inputs!$B$11*Inputs!$B$5,0)</f>
        <v/>
      </c>
      <c r="E47" s="15">
        <f>B47-C47-D47</f>
        <v/>
      </c>
      <c r="F47" s="17">
        <f>1/(1+Inputs!$B$7)^A47</f>
        <v/>
      </c>
      <c r="G47" s="15">
        <f>E47*F47</f>
        <v/>
      </c>
      <c r="H47" s="15">
        <f>B47*F47</f>
        <v/>
      </c>
      <c r="I47" s="15">
        <f>(C47+D47)*F47</f>
        <v/>
      </c>
    </row>
    <row r="48">
      <c r="A48" t="n">
        <v>45</v>
      </c>
      <c r="B48" s="15">
        <f>Damage_AED!$B$17</f>
        <v/>
      </c>
      <c r="C48" s="15">
        <f>IF(A48&gt;=Inputs!$B$10,Inputs!$B$9*Inputs!$B$4,0)</f>
        <v/>
      </c>
      <c r="D48" s="15">
        <f>IF(A48&gt;=Inputs!$B$12,Inputs!$B$11*Inputs!$B$5,0)</f>
        <v/>
      </c>
      <c r="E48" s="15">
        <f>B48-C48-D48</f>
        <v/>
      </c>
      <c r="F48" s="17">
        <f>1/(1+Inputs!$B$7)^A48</f>
        <v/>
      </c>
      <c r="G48" s="15">
        <f>E48*F48</f>
        <v/>
      </c>
      <c r="H48" s="15">
        <f>B48*F48</f>
        <v/>
      </c>
      <c r="I48" s="15">
        <f>(C48+D48)*F48</f>
        <v/>
      </c>
    </row>
    <row r="49">
      <c r="A49" t="n">
        <v>46</v>
      </c>
      <c r="B49" s="15">
        <f>Damage_AED!$B$17</f>
        <v/>
      </c>
      <c r="C49" s="15">
        <f>IF(A49&gt;=Inputs!$B$10,Inputs!$B$9*Inputs!$B$4,0)</f>
        <v/>
      </c>
      <c r="D49" s="15">
        <f>IF(A49&gt;=Inputs!$B$12,Inputs!$B$11*Inputs!$B$5,0)</f>
        <v/>
      </c>
      <c r="E49" s="15">
        <f>B49-C49-D49</f>
        <v/>
      </c>
      <c r="F49" s="17">
        <f>1/(1+Inputs!$B$7)^A49</f>
        <v/>
      </c>
      <c r="G49" s="15">
        <f>E49*F49</f>
        <v/>
      </c>
      <c r="H49" s="15">
        <f>B49*F49</f>
        <v/>
      </c>
      <c r="I49" s="15">
        <f>(C49+D49)*F49</f>
        <v/>
      </c>
    </row>
    <row r="50">
      <c r="A50" t="n">
        <v>47</v>
      </c>
      <c r="B50" s="15">
        <f>Damage_AED!$B$17</f>
        <v/>
      </c>
      <c r="C50" s="15">
        <f>IF(A50&gt;=Inputs!$B$10,Inputs!$B$9*Inputs!$B$4,0)</f>
        <v/>
      </c>
      <c r="D50" s="15">
        <f>IF(A50&gt;=Inputs!$B$12,Inputs!$B$11*Inputs!$B$5,0)</f>
        <v/>
      </c>
      <c r="E50" s="15">
        <f>B50-C50-D50</f>
        <v/>
      </c>
      <c r="F50" s="17">
        <f>1/(1+Inputs!$B$7)^A50</f>
        <v/>
      </c>
      <c r="G50" s="15">
        <f>E50*F50</f>
        <v/>
      </c>
      <c r="H50" s="15">
        <f>B50*F50</f>
        <v/>
      </c>
      <c r="I50" s="15">
        <f>(C50+D50)*F50</f>
        <v/>
      </c>
    </row>
    <row r="51">
      <c r="A51" t="n">
        <v>48</v>
      </c>
      <c r="B51" s="15">
        <f>Damage_AED!$B$17</f>
        <v/>
      </c>
      <c r="C51" s="15">
        <f>IF(A51&gt;=Inputs!$B$10,Inputs!$B$9*Inputs!$B$4,0)</f>
        <v/>
      </c>
      <c r="D51" s="15">
        <f>IF(A51&gt;=Inputs!$B$12,Inputs!$B$11*Inputs!$B$5,0)</f>
        <v/>
      </c>
      <c r="E51" s="15">
        <f>B51-C51-D51</f>
        <v/>
      </c>
      <c r="F51" s="17">
        <f>1/(1+Inputs!$B$7)^A51</f>
        <v/>
      </c>
      <c r="G51" s="15">
        <f>E51*F51</f>
        <v/>
      </c>
      <c r="H51" s="15">
        <f>B51*F51</f>
        <v/>
      </c>
      <c r="I51" s="15">
        <f>(C51+D51)*F51</f>
        <v/>
      </c>
    </row>
    <row r="52">
      <c r="A52" t="n">
        <v>49</v>
      </c>
      <c r="B52" s="15">
        <f>Damage_AED!$B$17</f>
        <v/>
      </c>
      <c r="C52" s="15">
        <f>IF(A52&gt;=Inputs!$B$10,Inputs!$B$9*Inputs!$B$4,0)</f>
        <v/>
      </c>
      <c r="D52" s="15">
        <f>IF(A52&gt;=Inputs!$B$12,Inputs!$B$11*Inputs!$B$5,0)</f>
        <v/>
      </c>
      <c r="E52" s="15">
        <f>B52-C52-D52</f>
        <v/>
      </c>
      <c r="F52" s="17">
        <f>1/(1+Inputs!$B$7)^A52</f>
        <v/>
      </c>
      <c r="G52" s="15">
        <f>E52*F52</f>
        <v/>
      </c>
      <c r="H52" s="15">
        <f>B52*F52</f>
        <v/>
      </c>
      <c r="I52" s="15">
        <f>(C52+D52)*F52</f>
        <v/>
      </c>
    </row>
    <row r="53">
      <c r="A53" t="n">
        <v>50</v>
      </c>
      <c r="B53" s="15">
        <f>Damage_AED!$B$17</f>
        <v/>
      </c>
      <c r="C53" s="15">
        <f>IF(A53&gt;=Inputs!$B$10,Inputs!$B$9*Inputs!$B$4,0)</f>
        <v/>
      </c>
      <c r="D53" s="15">
        <f>IF(A53&gt;=Inputs!$B$12,Inputs!$B$11*Inputs!$B$5,0)</f>
        <v/>
      </c>
      <c r="E53" s="15">
        <f>B53-C53-D53</f>
        <v/>
      </c>
      <c r="F53" s="17">
        <f>1/(1+Inputs!$B$7)^A53</f>
        <v/>
      </c>
      <c r="G53" s="15">
        <f>E53*F53</f>
        <v/>
      </c>
      <c r="H53" s="15">
        <f>B53*F53</f>
        <v/>
      </c>
      <c r="I53" s="15">
        <f>(C53+D53)*F53</f>
        <v/>
      </c>
    </row>
    <row r="55">
      <c r="A55" s="8" t="inlineStr">
        <is>
          <t>Initial cost (dam+channel+relocation)</t>
        </is>
      </c>
      <c r="B55" s="15">
        <f>Inputs!$B$4+Inputs!$B$5+Inputs!$B$6</f>
        <v/>
      </c>
    </row>
    <row r="56">
      <c r="A56" s="8" t="inlineStr">
        <is>
          <t>PV of benefits (avoided damage)</t>
        </is>
      </c>
      <c r="B56" s="15">
        <f>SUM(H4:H53)</f>
        <v/>
      </c>
    </row>
    <row r="57">
      <c r="A57" s="8" t="inlineStr">
        <is>
          <t>PV of maintenance</t>
        </is>
      </c>
      <c r="B57" s="15">
        <f>SUM(I4:I53)</f>
        <v/>
      </c>
    </row>
    <row r="58">
      <c r="A58" s="8" t="inlineStr">
        <is>
          <t>PV of costs (initial + maintenance)</t>
        </is>
      </c>
      <c r="B58" s="15">
        <f>B55+B57</f>
        <v/>
      </c>
    </row>
    <row r="59">
      <c r="A59" s="8" t="inlineStr">
        <is>
          <t>NPV</t>
        </is>
      </c>
      <c r="B59" s="18">
        <f>B56-B57-B55</f>
        <v/>
      </c>
    </row>
    <row r="60">
      <c r="A60" s="8" t="inlineStr">
        <is>
          <t>BCR</t>
        </is>
      </c>
      <c r="B60" s="19">
        <f>B56/B58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8" t="inlineStr">
        <is>
          <t>Population exposure by return period</t>
        </is>
      </c>
    </row>
    <row r="3">
      <c r="A3" s="2" t="inlineStr">
        <is>
          <t>Return period (yr)</t>
        </is>
      </c>
      <c r="B3" s="2" t="inlineStr">
        <is>
          <t>Prob</t>
        </is>
      </c>
      <c r="C3" s="2" t="inlineStr">
        <is>
          <t>People exposed base</t>
        </is>
      </c>
      <c r="D3" s="2" t="inlineStr">
        <is>
          <t>People exposed scheme</t>
        </is>
      </c>
      <c r="E3" s="2" t="inlineStr">
        <is>
          <t>&gt;1 m base (life-risk)</t>
        </is>
      </c>
      <c r="F3" s="2" t="inlineStr">
        <is>
          <t>&gt;1 m scheme</t>
        </is>
      </c>
      <c r="G3" s="2" t="inlineStr">
        <is>
          <t>Trap base</t>
        </is>
      </c>
      <c r="H3" s="2" t="inlineStr">
        <is>
          <t>Trap scheme</t>
        </is>
      </c>
    </row>
    <row r="4">
      <c r="A4" t="n">
        <v>2</v>
      </c>
      <c r="B4" s="20">
        <f>1/A4</f>
        <v/>
      </c>
      <c r="C4" t="n">
        <v>1796</v>
      </c>
      <c r="D4" t="n">
        <v>1085</v>
      </c>
      <c r="E4" t="n">
        <v>158</v>
      </c>
      <c r="F4" t="n">
        <v>84</v>
      </c>
      <c r="G4" s="15">
        <f>0.5*(C4+C5)*(B4-B5)</f>
        <v/>
      </c>
      <c r="H4" s="15">
        <f>0.5*(D4+D5)*(B4-B5)</f>
        <v/>
      </c>
    </row>
    <row r="5">
      <c r="A5" t="n">
        <v>5</v>
      </c>
      <c r="B5" s="20">
        <f>1/A5</f>
        <v/>
      </c>
      <c r="C5" t="n">
        <v>3147</v>
      </c>
      <c r="D5" t="n">
        <v>1629</v>
      </c>
      <c r="E5" t="n">
        <v>524</v>
      </c>
      <c r="F5" t="n">
        <v>132</v>
      </c>
      <c r="G5" s="15">
        <f>0.5*(C5+C6)*(B5-B6)</f>
        <v/>
      </c>
      <c r="H5" s="15">
        <f>0.5*(D5+D6)*(B5-B6)</f>
        <v/>
      </c>
    </row>
    <row r="6">
      <c r="A6" t="n">
        <v>10</v>
      </c>
      <c r="B6" s="20">
        <f>1/A6</f>
        <v/>
      </c>
      <c r="C6" t="n">
        <v>4527</v>
      </c>
      <c r="D6" t="n">
        <v>2155</v>
      </c>
      <c r="E6" t="n">
        <v>1335</v>
      </c>
      <c r="F6" t="n">
        <v>205</v>
      </c>
      <c r="G6" s="15">
        <f>0.5*(C6+C7)*(B6-B7)</f>
        <v/>
      </c>
      <c r="H6" s="15">
        <f>0.5*(D6+D7)*(B6-B7)</f>
        <v/>
      </c>
    </row>
    <row r="7">
      <c r="A7" t="n">
        <v>25</v>
      </c>
      <c r="B7" s="20">
        <f>1/A7</f>
        <v/>
      </c>
      <c r="C7" t="n">
        <v>5356</v>
      </c>
      <c r="D7" t="n">
        <v>2438</v>
      </c>
      <c r="E7" t="n">
        <v>2110</v>
      </c>
      <c r="F7" t="n">
        <v>258</v>
      </c>
      <c r="G7" s="15">
        <f>0.5*(C7+C8)*(B7-B8)</f>
        <v/>
      </c>
      <c r="H7" s="15">
        <f>0.5*(D7+D8)*(B7-B8)</f>
        <v/>
      </c>
    </row>
    <row r="8">
      <c r="A8" t="n">
        <v>50</v>
      </c>
      <c r="B8" s="20">
        <f>1/A8</f>
        <v/>
      </c>
      <c r="C8" t="n">
        <v>5862</v>
      </c>
      <c r="D8" t="n">
        <v>2699</v>
      </c>
      <c r="E8" t="n">
        <v>2813</v>
      </c>
      <c r="F8" t="n">
        <v>312</v>
      </c>
      <c r="G8" s="15">
        <f>0.5*(C8+C9)*(B8-B9)</f>
        <v/>
      </c>
      <c r="H8" s="15">
        <f>0.5*(D8+D9)*(B8-B9)</f>
        <v/>
      </c>
    </row>
    <row r="9">
      <c r="A9" t="n">
        <v>100</v>
      </c>
      <c r="B9" s="20">
        <f>1/A9</f>
        <v/>
      </c>
      <c r="C9" t="n">
        <v>6207</v>
      </c>
      <c r="D9" t="n">
        <v>2978</v>
      </c>
      <c r="E9" t="n">
        <v>3564</v>
      </c>
      <c r="F9" t="n">
        <v>374</v>
      </c>
      <c r="G9" s="15">
        <f>0.5*(C9+C10)*(B9-B10)</f>
        <v/>
      </c>
      <c r="H9" s="15">
        <f>0.5*(D9+D10)*(B9-B10)</f>
        <v/>
      </c>
    </row>
    <row r="10">
      <c r="A10" t="n">
        <v>200</v>
      </c>
      <c r="B10" s="20">
        <f>1/A10</f>
        <v/>
      </c>
      <c r="C10" t="n">
        <v>6432</v>
      </c>
      <c r="D10" t="n">
        <v>3253</v>
      </c>
      <c r="E10" t="n">
        <v>4334</v>
      </c>
      <c r="F10" t="n">
        <v>447</v>
      </c>
      <c r="G10" s="15">
        <f>0.5*(C10+C11)*(B10-B11)</f>
        <v/>
      </c>
      <c r="H10" s="15">
        <f>0.5*(D10+D11)*(B10-B11)</f>
        <v/>
      </c>
    </row>
    <row r="11">
      <c r="A11" t="n">
        <v>500</v>
      </c>
      <c r="B11" s="20">
        <f>1/A11</f>
        <v/>
      </c>
      <c r="C11" t="n">
        <v>6617</v>
      </c>
      <c r="D11" t="n">
        <v>3831</v>
      </c>
      <c r="E11" t="n">
        <v>5259</v>
      </c>
      <c r="F11" t="n">
        <v>783</v>
      </c>
      <c r="G11" s="15">
        <f>0.5*(C11+C12)*(B11-B12)</f>
        <v/>
      </c>
      <c r="H11" s="15">
        <f>0.5*(D11+D12)*(B11-B12)</f>
        <v/>
      </c>
    </row>
    <row r="12">
      <c r="A12" t="n">
        <v>1000</v>
      </c>
      <c r="B12" s="20">
        <f>1/A12</f>
        <v/>
      </c>
      <c r="C12" t="n">
        <v>6724</v>
      </c>
      <c r="D12" t="n">
        <v>4305</v>
      </c>
      <c r="E12" t="n">
        <v>5790</v>
      </c>
      <c r="F12" t="n">
        <v>1531</v>
      </c>
      <c r="G12" s="15">
        <f>0.5*(C12+C13)*(B12-B13)</f>
        <v/>
      </c>
      <c r="H12" s="15">
        <f>0.5*(D12+D13)*(B12-B13)</f>
        <v/>
      </c>
    </row>
    <row r="13">
      <c r="A13" t="n">
        <v>10000</v>
      </c>
      <c r="B13" s="20">
        <f>1/A13</f>
        <v/>
      </c>
      <c r="C13" t="n">
        <v>7012</v>
      </c>
      <c r="D13" t="n">
        <v>6489</v>
      </c>
      <c r="E13" t="n">
        <v>6334</v>
      </c>
      <c r="F13" t="n">
        <v>4394</v>
      </c>
    </row>
    <row r="15">
      <c r="A15" s="8" t="inlineStr">
        <is>
          <t>EAPE baseline (people/yr)</t>
        </is>
      </c>
      <c r="B15" s="15">
        <f>SUM(G4:G12)+C13*B13</f>
        <v/>
      </c>
    </row>
    <row r="16">
      <c r="A16" s="8" t="inlineStr">
        <is>
          <t>EAPE scheme (people/yr)</t>
        </is>
      </c>
      <c r="B16" s="15">
        <f>SUM(H4:H12)+D13*B13</f>
        <v/>
      </c>
    </row>
    <row r="17">
      <c r="A17" s="8" t="inlineStr">
        <is>
          <t>Annual people-exposure avoided</t>
        </is>
      </c>
      <c r="B17" s="16">
        <f>B15-B16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2026-07-06T15:12:45Z</dcterms:created>
  <dcterms:modified xmlns:dcterms="http://purl.org/dc/terms/" xmlns:xsi="http://www.w3.org/2001/XMLSchema-instance" xsi:type="dcterms:W3CDTF">2026-07-06T15:12:45Z</dcterms:modified>
</cp:coreProperties>
</file>