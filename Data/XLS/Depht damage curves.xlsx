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jtaba\Renardet\2224 WS11\Majlas\Hydraulic\Flood Protection\Risk\Data\XLS\"/>
    </mc:Choice>
  </mc:AlternateContent>
  <xr:revisionPtr revIDLastSave="0" documentId="13_ncr:1_{403ED13F-D955-4FF2-94F7-C4DEB6C1EDA5}" xr6:coauthVersionLast="47" xr6:coauthVersionMax="47" xr10:uidLastSave="{00000000-0000-0000-0000-000000000000}"/>
  <bookViews>
    <workbookView xWindow="28680" yWindow="-120" windowWidth="29040" windowHeight="15720" xr2:uid="{942667AC-F408-405A-A697-358B9F876F0A}"/>
  </bookViews>
  <sheets>
    <sheet name="depth damage curve - Landuse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B4" i="1"/>
</calcChain>
</file>

<file path=xl/sharedStrings.xml><?xml version="1.0" encoding="utf-8"?>
<sst xmlns="http://schemas.openxmlformats.org/spreadsheetml/2006/main" count="11" uniqueCount="11">
  <si>
    <t>CPI</t>
  </si>
  <si>
    <t>GDP (USD)</t>
  </si>
  <si>
    <t>Flood depth (m)</t>
  </si>
  <si>
    <t>Residential buildings</t>
  </si>
  <si>
    <t>Commercial buildings</t>
  </si>
  <si>
    <t>Industrial buildings</t>
  </si>
  <si>
    <t>Infrastructure - roads</t>
  </si>
  <si>
    <t>Agriculture</t>
  </si>
  <si>
    <t>landuse based</t>
  </si>
  <si>
    <t>ratio</t>
  </si>
  <si>
    <t>Euro to OMR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</si>
</sst>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Stage Damage - Landuse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'depth damage curve - Landuse'!$G$1</c:f>
              <c:strCache>
                <c:ptCount val="1"/>
                <c:pt idx="0">
                  <c:v>Residential buildings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3C-4677-AA91-7F52C9C6A8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'depth damage curve - Landuse'!$F$2:$F$10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</c:numCache>
            </c:numRef>
          </c:xVal>
          <c:yVal>
            <c:numRef>
              <c:f>'depth damage curve - Landuse'!$G$2:$G$10</c:f>
              <c:numCache>
                <c:formatCode>0.0</c:formatCode>
                <c:ptCount val="9"/>
                <c:pt idx="0">
                  <c:v>0</c:v>
                </c:pt>
                <c:pt idx="1">
                  <c:v>20.594967333508929</c:v>
                </c:pt>
                <c:pt idx="2">
                  <c:v>31.158314751639242</c:v>
                </c:pt>
                <c:pt idx="3">
                  <c:v>38.885407832845729</c:v>
                </c:pt>
                <c:pt idx="4">
                  <c:v>45.453191570139779</c:v>
                </c:pt>
                <c:pt idx="5">
                  <c:v>54.83861145616639</c:v>
                </c:pt>
                <c:pt idx="6">
                  <c:v>58.746176987406827</c:v>
                </c:pt>
                <c:pt idx="7">
                  <c:v>62.033048405236322</c:v>
                </c:pt>
                <c:pt idx="8">
                  <c:v>63.067087029420954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C-4677-AA91-7F52C9C6A8B3}"/>
            </c:ext>
          </c:extLst>
        </c:ser>
        <c:ser>
          <c:idx val="1"/>
          <c:order val="1"/>
          <c:tx>
            <c:strRef>
              <c:f>'depth damage curve - Landuse'!$H$1</c:f>
              <c:strCache>
                <c:ptCount val="1"/>
                <c:pt idx="0">
                  <c:v>Commercial buildings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3C-4677-AA91-7F52C9C6A8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'depth damage curve - Landuse'!$F$2:$F$10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</c:numCache>
            </c:numRef>
          </c:xVal>
          <c:yVal>
            <c:numRef>
              <c:f>'depth damage curve - Landuse'!$H$2:$H$10</c:f>
              <c:numCache>
                <c:formatCode>0.0</c:formatCode>
                <c:ptCount val="9"/>
                <c:pt idx="0">
                  <c:v>0</c:v>
                </c:pt>
                <c:pt idx="1">
                  <c:v>50.359330757629522</c:v>
                </c:pt>
                <c:pt idx="2">
                  <c:v>71.86314274504214</c:v>
                </c:pt>
                <c:pt idx="3">
                  <c:v>88.122793476131989</c:v>
                </c:pt>
                <c:pt idx="4">
                  <c:v>101.9570949318942</c:v>
                </c:pt>
                <c:pt idx="5">
                  <c:v>118.06282444129137</c:v>
                </c:pt>
                <c:pt idx="6">
                  <c:v>125.88240030901875</c:v>
                </c:pt>
                <c:pt idx="7">
                  <c:v>131.08212908028844</c:v>
                </c:pt>
                <c:pt idx="8">
                  <c:v>133.65370928247415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3C-4677-AA91-7F52C9C6A8B3}"/>
            </c:ext>
          </c:extLst>
        </c:ser>
        <c:ser>
          <c:idx val="2"/>
          <c:order val="2"/>
          <c:tx>
            <c:strRef>
              <c:f>'depth damage curve - Landuse'!$I$1</c:f>
              <c:strCache>
                <c:ptCount val="1"/>
                <c:pt idx="0">
                  <c:v>Industrial buildings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3C-4677-AA91-7F52C9C6A8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'depth damage curve - Landuse'!$F$2:$F$10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</c:numCache>
            </c:numRef>
          </c:xVal>
          <c:yVal>
            <c:numRef>
              <c:f>'depth damage curve - Landuse'!$I$2:$I$10</c:f>
              <c:numCache>
                <c:formatCode>0.0</c:formatCode>
                <c:ptCount val="9"/>
                <c:pt idx="0">
                  <c:v>0</c:v>
                </c:pt>
                <c:pt idx="1">
                  <c:v>31.372063562955802</c:v>
                </c:pt>
                <c:pt idx="2">
                  <c:v>53.355447329397741</c:v>
                </c:pt>
                <c:pt idx="3">
                  <c:v>69.707567289872841</c:v>
                </c:pt>
                <c:pt idx="4">
                  <c:v>79.458988026952284</c:v>
                </c:pt>
                <c:pt idx="5">
                  <c:v>94.906133408524667</c:v>
                </c:pt>
                <c:pt idx="6">
                  <c:v>100.65605667829973</c:v>
                </c:pt>
                <c:pt idx="7">
                  <c:v>105.83527300875532</c:v>
                </c:pt>
                <c:pt idx="8">
                  <c:v>110.78428822083001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3C-4677-AA91-7F52C9C6A8B3}"/>
            </c:ext>
          </c:extLst>
        </c:ser>
        <c:ser>
          <c:idx val="4"/>
          <c:order val="3"/>
          <c:tx>
            <c:strRef>
              <c:f>'depth damage curve - Landuse'!$J$1</c:f>
              <c:strCache>
                <c:ptCount val="1"/>
                <c:pt idx="0">
                  <c:v>Infrastructure - roads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3C-4677-AA91-7F52C9C6A8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'depth damage curve - Landuse'!$F$2:$F$10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</c:numCache>
            </c:numRef>
          </c:xVal>
          <c:yVal>
            <c:numRef>
              <c:f>'depth damage curve - Landuse'!$J$2:$J$10</c:f>
              <c:numCache>
                <c:formatCode>0.0</c:formatCode>
                <c:ptCount val="9"/>
                <c:pt idx="0">
                  <c:v>0</c:v>
                </c:pt>
                <c:pt idx="1">
                  <c:v>4.5957121744152385</c:v>
                </c:pt>
                <c:pt idx="2">
                  <c:v>7.9886993707628093</c:v>
                </c:pt>
                <c:pt idx="3">
                  <c:v>12.943251637764</c:v>
                </c:pt>
                <c:pt idx="4">
                  <c:v>15.209084009253607</c:v>
                </c:pt>
                <c:pt idx="5">
                  <c:v>17.32544814120579</c:v>
                </c:pt>
                <c:pt idx="6">
                  <c:v>19.013181562889176</c:v>
                </c:pt>
                <c:pt idx="7">
                  <c:v>20.761800028644835</c:v>
                </c:pt>
                <c:pt idx="8">
                  <c:v>21.43153551343983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D3C-4677-AA91-7F52C9C6A8B3}"/>
            </c:ext>
          </c:extLst>
        </c:ser>
        <c:ser>
          <c:idx val="5"/>
          <c:order val="4"/>
          <c:tx>
            <c:strRef>
              <c:f>'depth damage curve - Landuse'!$K$1</c:f>
              <c:strCache>
                <c:ptCount val="1"/>
                <c:pt idx="0">
                  <c:v>Agriculture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3C-4677-AA91-7F52C9C6A8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'depth damage curve - Landuse'!$F$2:$F$10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</c:numCache>
            </c:numRef>
          </c:xVal>
          <c:yVal>
            <c:numRef>
              <c:f>'depth damage curve - Landuse'!$K$2:$K$10</c:f>
              <c:numCache>
                <c:formatCode>0.000</c:formatCode>
                <c:ptCount val="9"/>
                <c:pt idx="0">
                  <c:v>0</c:v>
                </c:pt>
                <c:pt idx="1">
                  <c:v>2.3733236118618109E-3</c:v>
                </c:pt>
                <c:pt idx="2">
                  <c:v>6.50466471399163E-3</c:v>
                </c:pt>
                <c:pt idx="3">
                  <c:v>9.2120116490043633E-3</c:v>
                </c:pt>
                <c:pt idx="4">
                  <c:v>9.8097375956954867E-3</c:v>
                </c:pt>
                <c:pt idx="5">
                  <c:v>1.1602915435768853E-2</c:v>
                </c:pt>
                <c:pt idx="6">
                  <c:v>1.4661865868835186E-2</c:v>
                </c:pt>
                <c:pt idx="7">
                  <c:v>1.7369212803847917E-2</c:v>
                </c:pt>
                <c:pt idx="8">
                  <c:v>1.758017490268008E-2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D3C-4677-AA91-7F52C9C6A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862943"/>
        <c:axId val="1524860063"/>
      </c:scatterChart>
      <c:valAx>
        <c:axId val="152486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 dirty="0">
                    <a:solidFill>
                      <a:prstClr val="black">
                        <a:lumMod val="95000"/>
                        <a:lumOff val="5000"/>
                      </a:prstClr>
                    </a:solidFill>
                    <a:latin typeface="Calibri (Body)"/>
                  </a:rPr>
                  <a:t>Flood 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60063"/>
        <c:crosses val="autoZero"/>
        <c:crossBetween val="midCat"/>
      </c:valAx>
      <c:valAx>
        <c:axId val="152486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 dirty="0">
                    <a:solidFill>
                      <a:prstClr val="black">
                        <a:lumMod val="95000"/>
                        <a:lumOff val="5000"/>
                      </a:prstClr>
                    </a:solidFill>
                    <a:latin typeface="Calibri (Body)"/>
                  </a:rPr>
                  <a:t>Cost of Damage (OMR/m2)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62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65858</xdr:colOff>
      <xdr:row>0</xdr:row>
      <xdr:rowOff>0</xdr:rowOff>
    </xdr:from>
    <xdr:to>
      <xdr:col>20</xdr:col>
      <xdr:colOff>551905</xdr:colOff>
      <xdr:row>11</xdr:row>
      <xdr:rowOff>18505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FD73BA-0F67-441B-A585-C98406189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2224%20Flood%20Protection%20Scheme%20in%20North%20&amp;%20South%20Batinah_MAFWWR\06-WORKING\04-Hydraulic\00%20Data\Documents\Flood%20Risk\OMAN%20flood%20depth%20damage%20functions.xlsx" TargetMode="External"/><Relationship Id="rId1" Type="http://schemas.openxmlformats.org/officeDocument/2006/relationships/externalLinkPath" Target="file:///W:\2224%20Flood%20Protection%20Scheme%20in%20North%20&amp;%20South%20Batinah_MAFWWR\06-WORKING\04-Hydraulic\00%20Data\Documents\Flood%20Risk\OMAN%20flood%20depth%20damage%20fun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Quick Start Guide"/>
      <sheetName val="OMAN"/>
      <sheetName val="Damage functions"/>
      <sheetName val="MaxDamage-Residential"/>
      <sheetName val="MaxDamage-Commercial"/>
      <sheetName val="MaxDamage-Industrial"/>
      <sheetName val="MaxDamage-Agriculture"/>
      <sheetName val="MaxDamage-Infrastructure"/>
      <sheetName val="MaxDamage-Transport"/>
      <sheetName val="MaxDamage-Adjustment"/>
      <sheetName val="MaxDamage-Data"/>
      <sheetName val="ISO_Table"/>
    </sheetNames>
    <sheetDataSet>
      <sheetData sheetId="0" refreshError="1"/>
      <sheetData sheetId="1" refreshError="1"/>
      <sheetData sheetId="2">
        <row r="13">
          <cell r="G13" t="str">
            <v>Residential buildings</v>
          </cell>
          <cell r="H13" t="str">
            <v>Commercial buildings</v>
          </cell>
          <cell r="I13" t="str">
            <v>Industrial buildings</v>
          </cell>
          <cell r="K13" t="str">
            <v>Infrastructure - roads</v>
          </cell>
          <cell r="L13" t="str">
            <v>Agriculture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</row>
        <row r="15">
          <cell r="F15">
            <v>0.5</v>
          </cell>
          <cell r="G15">
            <v>102.97483666754466</v>
          </cell>
          <cell r="H15">
            <v>167.86443585876512</v>
          </cell>
          <cell r="I15">
            <v>104.57354520985268</v>
          </cell>
          <cell r="K15">
            <v>4.5957121744152385</v>
          </cell>
          <cell r="L15">
            <v>2.3733236118618109E-3</v>
          </cell>
        </row>
        <row r="16">
          <cell r="F16">
            <v>1</v>
          </cell>
          <cell r="G16">
            <v>155.79157375819625</v>
          </cell>
          <cell r="H16">
            <v>239.5438091501405</v>
          </cell>
          <cell r="I16">
            <v>177.85149109799247</v>
          </cell>
          <cell r="K16">
            <v>7.9886993707628093</v>
          </cell>
          <cell r="L16">
            <v>6.50466471399163E-3</v>
          </cell>
        </row>
        <row r="17">
          <cell r="F17">
            <v>1.5</v>
          </cell>
          <cell r="G17">
            <v>194.42703916422869</v>
          </cell>
          <cell r="H17">
            <v>293.74264492044</v>
          </cell>
          <cell r="I17">
            <v>232.35855763290948</v>
          </cell>
          <cell r="K17">
            <v>12.943251637764</v>
          </cell>
          <cell r="L17">
            <v>9.2120116490043633E-3</v>
          </cell>
        </row>
        <row r="18">
          <cell r="F18">
            <v>2</v>
          </cell>
          <cell r="G18">
            <v>227.26595785069892</v>
          </cell>
          <cell r="H18">
            <v>339.85698310631409</v>
          </cell>
          <cell r="I18">
            <v>264.8632934231743</v>
          </cell>
          <cell r="K18">
            <v>15.209084009253607</v>
          </cell>
          <cell r="L18">
            <v>9.8097375956954867E-3</v>
          </cell>
        </row>
        <row r="19">
          <cell r="F19">
            <v>3</v>
          </cell>
          <cell r="G19">
            <v>274.19305728083197</v>
          </cell>
          <cell r="H19">
            <v>393.54274813763794</v>
          </cell>
          <cell r="I19">
            <v>316.3537780284156</v>
          </cell>
          <cell r="K19">
            <v>17.32544814120579</v>
          </cell>
          <cell r="L19">
            <v>1.1602915435768853E-2</v>
          </cell>
        </row>
        <row r="20">
          <cell r="F20">
            <v>4</v>
          </cell>
          <cell r="G20">
            <v>293.73088493703415</v>
          </cell>
          <cell r="H20">
            <v>419.60800103006255</v>
          </cell>
          <cell r="I20">
            <v>335.5201889276658</v>
          </cell>
          <cell r="K20">
            <v>19.013181562889176</v>
          </cell>
          <cell r="L20">
            <v>1.4661865868835186E-2</v>
          </cell>
        </row>
        <row r="21">
          <cell r="F21">
            <v>5</v>
          </cell>
          <cell r="G21">
            <v>310.16524202618166</v>
          </cell>
          <cell r="H21">
            <v>436.94043026762819</v>
          </cell>
          <cell r="I21">
            <v>352.78424336251777</v>
          </cell>
          <cell r="K21">
            <v>20.761800028644835</v>
          </cell>
          <cell r="L21">
            <v>1.7369212803847917E-2</v>
          </cell>
        </row>
        <row r="22">
          <cell r="F22">
            <v>6</v>
          </cell>
          <cell r="G22">
            <v>315.33543514710482</v>
          </cell>
          <cell r="H22">
            <v>445.51236427491392</v>
          </cell>
          <cell r="I22">
            <v>369.28096073610004</v>
          </cell>
          <cell r="K22">
            <v>21.43153551343983</v>
          </cell>
          <cell r="L22">
            <v>1.758017490268008E-2</v>
          </cell>
        </row>
        <row r="25">
          <cell r="G25" t="str">
            <v>Residential buildings</v>
          </cell>
          <cell r="H25" t="str">
            <v>Commercial buildings</v>
          </cell>
          <cell r="I25" t="str">
            <v>Industrial buildings</v>
          </cell>
          <cell r="K25" t="str">
            <v>Infrastructure - roads</v>
          </cell>
          <cell r="L25" t="str">
            <v>Agriculture</v>
          </cell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</row>
        <row r="27">
          <cell r="F27">
            <v>0.5</v>
          </cell>
          <cell r="G27">
            <v>20.594967333508929</v>
          </cell>
          <cell r="H27">
            <v>50.359330757629522</v>
          </cell>
          <cell r="I27">
            <v>31.372063562955802</v>
          </cell>
          <cell r="K27">
            <v>4.5957121744152385</v>
          </cell>
          <cell r="L27">
            <v>2.3733236118618109E-3</v>
          </cell>
        </row>
        <row r="28">
          <cell r="F28">
            <v>1</v>
          </cell>
          <cell r="G28">
            <v>31.158314751639242</v>
          </cell>
          <cell r="H28">
            <v>71.86314274504214</v>
          </cell>
          <cell r="I28">
            <v>53.355447329397741</v>
          </cell>
          <cell r="K28">
            <v>7.9886993707628093</v>
          </cell>
          <cell r="L28">
            <v>6.50466471399163E-3</v>
          </cell>
        </row>
        <row r="29">
          <cell r="F29">
            <v>1.5</v>
          </cell>
          <cell r="G29">
            <v>38.885407832845729</v>
          </cell>
          <cell r="H29">
            <v>88.122793476131989</v>
          </cell>
          <cell r="I29">
            <v>69.707567289872841</v>
          </cell>
          <cell r="K29">
            <v>12.943251637764</v>
          </cell>
          <cell r="L29">
            <v>9.2120116490043633E-3</v>
          </cell>
        </row>
        <row r="30">
          <cell r="F30">
            <v>2</v>
          </cell>
          <cell r="G30">
            <v>45.453191570139779</v>
          </cell>
          <cell r="H30">
            <v>101.9570949318942</v>
          </cell>
          <cell r="I30">
            <v>79.458988026952284</v>
          </cell>
          <cell r="K30">
            <v>15.209084009253607</v>
          </cell>
          <cell r="L30">
            <v>9.8097375956954867E-3</v>
          </cell>
        </row>
        <row r="31">
          <cell r="F31">
            <v>3</v>
          </cell>
          <cell r="G31">
            <v>54.83861145616639</v>
          </cell>
          <cell r="H31">
            <v>118.06282444129137</v>
          </cell>
          <cell r="I31">
            <v>94.906133408524667</v>
          </cell>
          <cell r="K31">
            <v>17.32544814120579</v>
          </cell>
          <cell r="L31">
            <v>1.1602915435768853E-2</v>
          </cell>
        </row>
        <row r="32">
          <cell r="F32">
            <v>4</v>
          </cell>
          <cell r="G32">
            <v>58.746176987406827</v>
          </cell>
          <cell r="H32">
            <v>125.88240030901875</v>
          </cell>
          <cell r="I32">
            <v>100.65605667829973</v>
          </cell>
          <cell r="K32">
            <v>19.013181562889176</v>
          </cell>
          <cell r="L32">
            <v>1.4661865868835186E-2</v>
          </cell>
        </row>
        <row r="33">
          <cell r="F33">
            <v>5</v>
          </cell>
          <cell r="G33">
            <v>62.033048405236322</v>
          </cell>
          <cell r="H33">
            <v>131.08212908028844</v>
          </cell>
          <cell r="I33">
            <v>105.83527300875532</v>
          </cell>
          <cell r="K33">
            <v>20.761800028644835</v>
          </cell>
          <cell r="L33">
            <v>1.7369212803847917E-2</v>
          </cell>
        </row>
        <row r="34">
          <cell r="F34">
            <v>6</v>
          </cell>
          <cell r="G34">
            <v>63.067087029420954</v>
          </cell>
          <cell r="H34">
            <v>133.65370928247415</v>
          </cell>
          <cell r="I34">
            <v>110.78428822083001</v>
          </cell>
          <cell r="K34">
            <v>21.43153551343983</v>
          </cell>
          <cell r="L34">
            <v>1.758017490268008E-2</v>
          </cell>
        </row>
      </sheetData>
      <sheetData sheetId="3" refreshError="1"/>
      <sheetData sheetId="4">
        <row r="148">
          <cell r="D148">
            <v>600.22733962826408</v>
          </cell>
        </row>
      </sheetData>
      <sheetData sheetId="5">
        <row r="148">
          <cell r="D148">
            <v>848.0134846103889</v>
          </cell>
        </row>
      </sheetData>
      <sheetData sheetId="6">
        <row r="148">
          <cell r="D148">
            <v>702.910310522499</v>
          </cell>
        </row>
      </sheetData>
      <sheetData sheetId="7">
        <row r="147">
          <cell r="B147">
            <v>358.8655383410167</v>
          </cell>
        </row>
      </sheetData>
      <sheetData sheetId="8">
        <row r="29">
          <cell r="J29">
            <v>43.748367533776424</v>
          </cell>
        </row>
      </sheetData>
      <sheetData sheetId="9">
        <row r="29">
          <cell r="J29">
            <v>1542.9905665359818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8358-DBF2-4C0E-866E-73D14BAD12E9}">
  <dimension ref="A1:M25"/>
  <sheetViews>
    <sheetView tabSelected="1" topLeftCell="B1" zoomScale="115" zoomScaleNormal="115" workbookViewId="0">
      <selection activeCell="K21" sqref="K21"/>
    </sheetView>
  </sheetViews>
  <sheetFormatPr defaultColWidth="8.85546875" defaultRowHeight="15" x14ac:dyDescent="0.25"/>
  <cols>
    <col min="1" max="1" width="22.5703125" style="1" customWidth="1"/>
    <col min="2" max="2" width="8.85546875" style="1"/>
    <col min="3" max="3" width="10" style="1" customWidth="1"/>
    <col min="4" max="5" width="8.85546875" style="1"/>
    <col min="6" max="6" width="13.42578125" style="1" customWidth="1"/>
    <col min="7" max="11" width="12.85546875" style="1" customWidth="1"/>
    <col min="12" max="16384" width="8.85546875" style="1"/>
  </cols>
  <sheetData>
    <row r="1" spans="1:13" ht="30" x14ac:dyDescent="0.25">
      <c r="B1" s="1" t="s">
        <v>0</v>
      </c>
      <c r="C1" s="1" t="s">
        <v>1</v>
      </c>
      <c r="E1" s="7" t="s">
        <v>8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M1"/>
    </row>
    <row r="2" spans="1:13" x14ac:dyDescent="0.25">
      <c r="A2" s="1">
        <v>2010</v>
      </c>
      <c r="B2" s="1">
        <v>100</v>
      </c>
      <c r="C2" s="1">
        <v>20923</v>
      </c>
      <c r="E2" s="8"/>
      <c r="F2" s="3">
        <v>0</v>
      </c>
      <c r="G2" s="5">
        <v>0</v>
      </c>
      <c r="H2" s="5">
        <v>0</v>
      </c>
      <c r="I2" s="5">
        <v>0</v>
      </c>
      <c r="J2" s="5">
        <v>0</v>
      </c>
      <c r="K2" s="6">
        <v>0</v>
      </c>
    </row>
    <row r="3" spans="1:13" x14ac:dyDescent="0.25">
      <c r="A3" s="1">
        <v>2023</v>
      </c>
      <c r="B3" s="1">
        <v>119.4</v>
      </c>
      <c r="C3" s="1">
        <v>23295</v>
      </c>
      <c r="E3" s="8"/>
      <c r="F3" s="3">
        <v>0.5</v>
      </c>
      <c r="G3" s="5">
        <v>20.594967333508929</v>
      </c>
      <c r="H3" s="5">
        <v>50.359330757629522</v>
      </c>
      <c r="I3" s="5">
        <v>31.372063562955802</v>
      </c>
      <c r="J3" s="5">
        <v>4.5957121744152385</v>
      </c>
      <c r="K3" s="6">
        <v>2.3733236118618109E-3</v>
      </c>
    </row>
    <row r="4" spans="1:13" x14ac:dyDescent="0.25">
      <c r="A4" s="1" t="s">
        <v>9</v>
      </c>
      <c r="B4" s="4">
        <f>B3/B2</f>
        <v>1.194</v>
      </c>
      <c r="C4" s="4">
        <f>C3/C2</f>
        <v>1.113368063853176</v>
      </c>
      <c r="D4" s="4"/>
      <c r="E4" s="8"/>
      <c r="F4" s="3">
        <v>1</v>
      </c>
      <c r="G4" s="5">
        <v>31.158314751639242</v>
      </c>
      <c r="H4" s="5">
        <v>71.86314274504214</v>
      </c>
      <c r="I4" s="5">
        <v>53.355447329397741</v>
      </c>
      <c r="J4" s="5">
        <v>7.9886993707628093</v>
      </c>
      <c r="K4" s="6">
        <v>6.50466471399163E-3</v>
      </c>
    </row>
    <row r="5" spans="1:13" x14ac:dyDescent="0.25">
      <c r="B5" s="4"/>
      <c r="C5" s="4"/>
      <c r="D5" s="4"/>
      <c r="E5" s="8"/>
      <c r="F5" s="3">
        <v>1.5</v>
      </c>
      <c r="G5" s="5">
        <v>38.885407832845729</v>
      </c>
      <c r="H5" s="5">
        <v>88.122793476131989</v>
      </c>
      <c r="I5" s="5">
        <v>69.707567289872841</v>
      </c>
      <c r="J5" s="5">
        <v>12.943251637764</v>
      </c>
      <c r="K5" s="6">
        <v>9.2120116490043633E-3</v>
      </c>
    </row>
    <row r="6" spans="1:13" x14ac:dyDescent="0.25">
      <c r="E6" s="8"/>
      <c r="F6" s="3">
        <v>2</v>
      </c>
      <c r="G6" s="5">
        <v>45.453191570139779</v>
      </c>
      <c r="H6" s="5">
        <v>101.9570949318942</v>
      </c>
      <c r="I6" s="5">
        <v>79.458988026952284</v>
      </c>
      <c r="J6" s="5">
        <v>15.209084009253607</v>
      </c>
      <c r="K6" s="6">
        <v>9.8097375956954867E-3</v>
      </c>
    </row>
    <row r="7" spans="1:13" x14ac:dyDescent="0.25">
      <c r="A7" s="1" t="s">
        <v>10</v>
      </c>
      <c r="B7" s="1">
        <v>0.44</v>
      </c>
      <c r="E7" s="8"/>
      <c r="F7" s="3">
        <v>3</v>
      </c>
      <c r="G7" s="5">
        <v>54.83861145616639</v>
      </c>
      <c r="H7" s="5">
        <v>118.06282444129137</v>
      </c>
      <c r="I7" s="5">
        <v>94.906133408524667</v>
      </c>
      <c r="J7" s="5">
        <v>17.32544814120579</v>
      </c>
      <c r="K7" s="6">
        <v>1.1602915435768853E-2</v>
      </c>
    </row>
    <row r="8" spans="1:13" x14ac:dyDescent="0.25">
      <c r="E8" s="8"/>
      <c r="F8" s="3">
        <v>4</v>
      </c>
      <c r="G8" s="5">
        <v>58.746176987406827</v>
      </c>
      <c r="H8" s="5">
        <v>125.88240030901875</v>
      </c>
      <c r="I8" s="5">
        <v>100.65605667829973</v>
      </c>
      <c r="J8" s="5">
        <v>19.013181562889176</v>
      </c>
      <c r="K8" s="6">
        <v>1.4661865868835186E-2</v>
      </c>
    </row>
    <row r="9" spans="1:13" x14ac:dyDescent="0.25">
      <c r="E9" s="8"/>
      <c r="F9" s="3">
        <v>5</v>
      </c>
      <c r="G9" s="5">
        <v>62.033048405236322</v>
      </c>
      <c r="H9" s="5">
        <v>131.08212908028844</v>
      </c>
      <c r="I9" s="5">
        <v>105.83527300875532</v>
      </c>
      <c r="J9" s="5">
        <v>20.761800028644835</v>
      </c>
      <c r="K9" s="6">
        <v>1.7369212803847917E-2</v>
      </c>
    </row>
    <row r="10" spans="1:13" x14ac:dyDescent="0.25">
      <c r="E10" s="9"/>
      <c r="F10" s="3">
        <v>6</v>
      </c>
      <c r="G10" s="5">
        <v>63.067087029420954</v>
      </c>
      <c r="H10" s="5">
        <v>133.65370928247415</v>
      </c>
      <c r="I10" s="5">
        <v>110.78428822083001</v>
      </c>
      <c r="J10" s="5">
        <v>21.43153551343983</v>
      </c>
      <c r="K10" s="6">
        <v>1.758017490268008E-2</v>
      </c>
    </row>
    <row r="25" ht="30" customHeight="1" x14ac:dyDescent="0.25"/>
  </sheetData>
  <mergeCells count="1">
    <mergeCell ref="E1:E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6535-45FF-48B2-BD23-DDC24D338B3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depth damage curve - Landuse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Mojtaba Keivanlou</dc:creator>
  <cp:lastModifiedBy>Mojtaba Keivanlou</cp:lastModifiedBy>
  <dcterms:created xsi:type="dcterms:W3CDTF">2026-07-02T10:21:17Z</dcterms:created>
  <dcterms:modified xsi:type="dcterms:W3CDTF">2026-07-06T14:20:36Z</dcterms:modified>
</cp:coreProperties>
</file>